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Titles" localSheetId="0">'工作表1'!$1:$14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&quot;NT$&quot;#,##0"/>
  </numFmts>
  <fonts count="20">
    <font>
      <name val="新細明體"/>
      <charset val="136"/>
      <family val="2"/>
      <color theme="1"/>
      <sz val="12"/>
      <scheme val="minor"/>
    </font>
    <font>
      <name val="Times New Roman"/>
      <family val="1"/>
      <color theme="1"/>
      <sz val="12"/>
    </font>
    <font>
      <name val="新細明體"/>
      <charset val="136"/>
      <family val="1"/>
      <b val="1"/>
      <color theme="1"/>
      <sz val="14"/>
    </font>
    <font>
      <name val="新細明體"/>
      <charset val="136"/>
      <family val="1"/>
      <color theme="1"/>
      <sz val="14"/>
    </font>
    <font>
      <name val="新細明體"/>
      <charset val="136"/>
      <family val="1"/>
      <color theme="1"/>
      <sz val="12"/>
    </font>
    <font>
      <name val="新細明體"/>
      <charset val="136"/>
      <family val="1"/>
      <color theme="1"/>
      <sz val="11"/>
    </font>
    <font>
      <name val="Times New Roman"/>
      <family val="1"/>
      <color theme="1"/>
      <sz val="10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16"/>
    </font>
    <font>
      <name val="Times New Roman"/>
      <family val="1"/>
      <b val="1"/>
      <color theme="1"/>
      <sz val="16"/>
    </font>
    <font>
      <name val="新細明體"/>
      <charset val="136"/>
      <family val="2"/>
      <color theme="10"/>
      <sz val="12"/>
      <u val="single"/>
      <scheme val="minor"/>
    </font>
    <font>
      <name val="微軟正黑體"/>
      <charset val="136"/>
      <family val="2"/>
      <color rgb="FF333333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000000"/>
      <sz val="12"/>
    </font>
    <font>
      <name val="PMingLiU"/>
      <charset val="136"/>
      <family val="1"/>
      <sz val="10"/>
    </font>
    <font>
      <name val="微軟正黑體"/>
      <charset val="136"/>
      <family val="2"/>
      <color theme="10"/>
      <sz val="12"/>
      <u val="single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2"/>
      <u val="single"/>
    </font>
    <font>
      <name val="微軟正黑體"/>
      <charset val="136"/>
      <family val="2"/>
      <b val="1"/>
      <color rgb="FF000000"/>
      <sz val="12"/>
    </font>
    <font>
      <name val="微軟正黑體"/>
      <sz val="11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/>
      <right/>
    </border>
    <border>
      <left style="medium"/>
      <right style="medium"/>
    </border>
    <border>
      <left/>
      <right/>
    </border>
    <border>
      <left/>
      <right style="medium"/>
    </border>
    <border>
      <left style="medium"/>
      <right/>
    </border>
    <border>
      <left/>
      <right style="thick"/>
    </border>
    <border>
      <left/>
      <right style="medium"/>
      <top/>
      <bottom/>
      <diagonal/>
    </border>
    <border>
      <left style="medium"/>
      <right style="thick"/>
    </border>
    <border>
      <left/>
      <right style="thick"/>
      <top/>
      <bottom/>
      <diagonal/>
    </border>
  </borders>
  <cellStyleXfs count="3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4" fillId="0" borderId="0"/>
  </cellStyleXfs>
  <cellXfs count="9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vertical="center"/>
    </xf>
    <xf numFmtId="0" fontId="12" fillId="0" borderId="18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7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14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2" fillId="0" borderId="7" applyAlignment="1" pivotButton="0" quotePrefix="0" xfId="0">
      <alignment horizontal="left" vertical="center"/>
    </xf>
    <xf numFmtId="0" fontId="12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49" fontId="12" fillId="0" borderId="0" applyAlignment="1" pivotButton="0" quotePrefix="0" xfId="0">
      <alignment horizontal="left" vertical="center"/>
    </xf>
    <xf numFmtId="0" fontId="12" fillId="0" borderId="11" applyAlignment="1" pivotButton="0" quotePrefix="0" xfId="0">
      <alignment vertical="center"/>
    </xf>
    <xf numFmtId="0" fontId="15" fillId="0" borderId="0" applyAlignment="1" pivotButton="0" quotePrefix="0" xfId="1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8" fillId="0" borderId="13" applyAlignment="1" pivotButton="0" quotePrefix="0" xfId="0">
      <alignment vertical="center"/>
    </xf>
    <xf numFmtId="0" fontId="12" fillId="0" borderId="14" applyAlignment="1" pivotButton="0" quotePrefix="0" xfId="0">
      <alignment vertical="center"/>
    </xf>
    <xf numFmtId="164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/>
    </xf>
    <xf numFmtId="0" fontId="12" fillId="0" borderId="13" applyAlignment="1" pivotButton="0" quotePrefix="0" xfId="0">
      <alignment horizontal="left" vertical="center"/>
    </xf>
    <xf numFmtId="0" fontId="12" fillId="0" borderId="21" applyAlignment="1" pivotButton="0" quotePrefix="0" xfId="0">
      <alignment horizontal="right" vertical="center"/>
    </xf>
    <xf numFmtId="0" fontId="12" fillId="0" borderId="21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vertical="center"/>
    </xf>
    <xf numFmtId="0" fontId="12" fillId="0" borderId="3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center" vertical="top"/>
    </xf>
    <xf numFmtId="165" fontId="16" fillId="0" borderId="4" applyAlignment="1" pivotButton="0" quotePrefix="0" xfId="0">
      <alignment horizontal="center" vertical="top"/>
    </xf>
    <xf numFmtId="165" fontId="17" fillId="0" borderId="1" applyAlignment="1" pivotButton="0" quotePrefix="0" xfId="0">
      <alignment horizontal="center" vertical="top" wrapText="1"/>
    </xf>
    <xf numFmtId="165" fontId="17" fillId="0" borderId="4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2" fillId="0" borderId="11" applyAlignment="1" pivotButton="0" quotePrefix="0" xfId="0">
      <alignment vertical="top" wrapText="1"/>
    </xf>
    <xf numFmtId="0" fontId="12" fillId="0" borderId="19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14" fontId="12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24" pivotButton="0" quotePrefix="0" xfId="0"/>
    <xf numFmtId="0" fontId="0" fillId="0" borderId="25" pivotButton="0" quotePrefix="0" xfId="0"/>
    <xf numFmtId="0" fontId="12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19" fillId="0" borderId="27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0" fontId="19" fillId="0" borderId="30" applyAlignment="1" pivotButton="0" quotePrefix="0" xfId="0">
      <alignment horizontal="left" vertical="center"/>
    </xf>
    <xf numFmtId="0" fontId="0" fillId="0" borderId="33" pivotButton="0" quotePrefix="0" xfId="0"/>
    <xf numFmtId="0" fontId="19" fillId="0" borderId="31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19" fillId="0" borderId="29" applyAlignment="1" pivotButton="0" quotePrefix="0" xfId="0">
      <alignment horizontal="left" vertical="center"/>
    </xf>
    <xf numFmtId="0" fontId="19" fillId="0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165" fontId="16" fillId="0" borderId="1" applyAlignment="1" pivotButton="0" quotePrefix="0" xfId="0">
      <alignment horizontal="center" vertical="top"/>
    </xf>
    <xf numFmtId="165" fontId="17" fillId="0" borderId="1" applyAlignment="1" pivotButton="0" quotePrefix="0" xfId="0">
      <alignment horizontal="center" vertical="top" wrapText="1"/>
    </xf>
  </cellXfs>
  <cellStyles count="3">
    <cellStyle name="一般" xfId="0" builtinId="0"/>
    <cellStyle name="超連結" xfId="1" builtinId="8"/>
    <cellStyle name="一般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>
    <from>
      <col>0</col>
      <colOff>57027</colOff>
      <row>0</row>
      <rowOff>9524</rowOff>
    </from>
    <to>
      <col>0</col>
      <colOff>564754</colOff>
      <row>2</row>
      <rowOff>66675</rowOff>
    </to>
    <pic>
      <nvPicPr>
        <cNvPr id="28" name="圖片 27" descr="mark-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027" y="9524"/>
          <a:ext cx="507727" cy="5048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571500</colOff>
      <row>0</row>
      <rowOff>95249</rowOff>
    </from>
    <to>
      <col>2</col>
      <colOff>466726</colOff>
      <row>3</row>
      <rowOff>9524</rowOff>
    </to>
    <pic>
      <nvPicPr>
        <cNvPr id="29" name="圖片 28" descr="word mark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0" y="95249"/>
          <a:ext cx="1981201" cy="561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tabSelected="1" zoomScale="85" zoomScaleNormal="85" zoomScaleSheetLayoutView="85" zoomScalePageLayoutView="50" workbookViewId="0">
      <selection activeCell="N16" sqref="N16"/>
    </sheetView>
  </sheetViews>
  <sheetFormatPr baseColWidth="8" defaultRowHeight="16.2"/>
  <cols>
    <col width="10.77734375" customWidth="1" style="66" min="1" max="1"/>
    <col width="16.6640625" customWidth="1" style="66" min="2" max="2"/>
    <col width="6.44140625" customWidth="1" style="66" min="3" max="3"/>
    <col width="10.109375" customWidth="1" style="66" min="4" max="4"/>
    <col width="24.77734375" customWidth="1" style="66" min="5" max="5"/>
    <col width="5.44140625" customWidth="1" style="6" min="6" max="6"/>
    <col width="11.6640625" customWidth="1" style="6" min="7" max="7"/>
    <col width="13.6640625" customWidth="1" style="66" min="8" max="8"/>
    <col width="6.6640625" customWidth="1" style="66" min="9" max="9"/>
    <col width="7" customWidth="1" style="66" min="10" max="10"/>
    <col width="12.109375" customWidth="1" style="66" min="11" max="15"/>
  </cols>
  <sheetData>
    <row r="1" ht="19.8" customHeight="1" s="66">
      <c r="A1" s="1" t="inlineStr">
        <is>
          <t xml:space="preserve">                             </t>
        </is>
      </c>
    </row>
    <row r="2">
      <c r="A2" s="2" t="n"/>
    </row>
    <row r="3">
      <c r="A3" s="2" t="n"/>
    </row>
    <row r="4" ht="12.75" customHeight="1" s="66">
      <c r="A4" s="2" t="n"/>
    </row>
    <row r="5">
      <c r="A5" s="9" t="inlineStr">
        <is>
          <t xml:space="preserve">台中市北屯區景南巷1-1號                                                                                        </t>
        </is>
      </c>
      <c r="B5" s="4" t="n"/>
      <c r="C5" s="4" t="n"/>
      <c r="D5" s="4" t="n"/>
      <c r="E5" s="4" t="n"/>
      <c r="F5" s="7" t="n"/>
      <c r="G5" s="7" t="n"/>
      <c r="H5" s="0" t="inlineStr">
        <is>
          <t>TEL：+886-4-2435-0381</t>
        </is>
      </c>
      <c r="I5" s="4" t="n"/>
      <c r="J5" s="4" t="n"/>
    </row>
    <row r="6">
      <c r="A6" s="10" t="inlineStr">
        <is>
          <t>No. 1-1, Jingnan Ln., Beitun Dist., Taichung City406,Taiwan</t>
        </is>
      </c>
      <c r="B6" s="5" t="n"/>
      <c r="C6" s="5" t="n"/>
      <c r="D6" s="5" t="n"/>
      <c r="E6" s="5" t="n"/>
      <c r="F6" s="8" t="n"/>
      <c r="G6" s="8" t="n"/>
      <c r="H6" s="0" t="inlineStr">
        <is>
          <t>FAX：+886-4-2327-5352</t>
        </is>
      </c>
      <c r="I6" s="5" t="n"/>
      <c r="J6" s="5" t="n"/>
    </row>
    <row r="7" ht="22.2" customHeight="1" s="66">
      <c r="A7" s="57" t="inlineStr">
        <is>
          <t>報 價 單</t>
        </is>
      </c>
    </row>
    <row r="8" ht="20.4" customHeight="1" s="66">
      <c r="A8" s="3" t="n"/>
    </row>
    <row r="9" ht="18" customHeight="1" s="66" thickBot="1">
      <c r="A9" s="14" t="inlineStr">
        <is>
          <t xml:space="preserve">報價單號 :   </t>
        </is>
      </c>
      <c r="B9" s="16" t="inlineStr">
        <is>
          <t>K11405220001</t>
        </is>
      </c>
      <c r="C9" s="14" t="n"/>
      <c r="D9" s="14" t="inlineStr">
        <is>
          <t xml:space="preserve">報價日期 :  </t>
        </is>
      </c>
      <c r="E9" s="17" t="inlineStr">
        <is>
          <t>2025/05/22</t>
        </is>
      </c>
      <c r="F9" s="18" t="n"/>
      <c r="G9" s="18" t="inlineStr">
        <is>
          <t xml:space="preserve"> 幣        別  :  </t>
        </is>
      </c>
      <c r="H9" s="14" t="inlineStr">
        <is>
          <t xml:space="preserve">TWD       </t>
        </is>
      </c>
      <c r="I9" s="19" t="n"/>
      <c r="J9" s="14" t="n"/>
    </row>
    <row r="10" ht="18" customHeight="1" s="66" thickTop="1">
      <c r="A10" s="20" t="inlineStr">
        <is>
          <t xml:space="preserve">客戶全名 :   </t>
        </is>
      </c>
      <c r="B10" s="11" t="inlineStr">
        <is>
          <t>立善科技測試</t>
        </is>
      </c>
      <c r="C10" s="12" t="n"/>
      <c r="D10" s="12" t="n"/>
      <c r="E10" s="12" t="n"/>
      <c r="F10" s="12" t="n"/>
      <c r="G10" s="21" t="inlineStr">
        <is>
          <t xml:space="preserve"> 有效日期  :  </t>
        </is>
      </c>
      <c r="H10" s="65" t="inlineStr">
        <is>
          <t>2025/06/06</t>
        </is>
      </c>
      <c r="I10" s="67" t="n"/>
      <c r="J10" s="22" t="n"/>
    </row>
    <row r="11" ht="18" customHeight="1" s="66">
      <c r="A11" s="23" t="inlineStr">
        <is>
          <t xml:space="preserve">電       話  :   </t>
        </is>
      </c>
      <c r="B11" s="58" t="inlineStr">
        <is>
          <t>04-2435-0381</t>
        </is>
      </c>
      <c r="G11" s="18" t="inlineStr">
        <is>
          <t xml:space="preserve"> 傳        真  :  </t>
        </is>
      </c>
      <c r="H11" s="60" t="n"/>
      <c r="J11" s="68" t="n"/>
    </row>
    <row r="12" ht="18" customHeight="1" s="66">
      <c r="A12" s="23" t="inlineStr">
        <is>
          <t xml:space="preserve">聯 絡 人   :  </t>
        </is>
      </c>
      <c r="B12" s="13" t="inlineStr">
        <is>
          <t>王小明</t>
        </is>
      </c>
      <c r="C12" s="14" t="n"/>
      <c r="D12" s="14" t="n"/>
      <c r="E12" s="14" t="n"/>
      <c r="F12" s="14" t="n"/>
      <c r="G12" s="18" t="inlineStr">
        <is>
          <t xml:space="preserve"> 統一編號  :  </t>
        </is>
      </c>
      <c r="H12" s="24" t="n"/>
      <c r="I12" s="14" t="n"/>
      <c r="J12" s="25" t="n"/>
    </row>
    <row r="13" ht="18" customHeight="1" s="66" thickBot="1">
      <c r="A13" s="23" t="inlineStr">
        <is>
          <t xml:space="preserve">聯絡地址 :  </t>
        </is>
      </c>
      <c r="B13" s="61" t="inlineStr">
        <is>
          <t>台中市</t>
        </is>
      </c>
      <c r="C13" s="69" t="n"/>
      <c r="D13" s="69" t="n"/>
      <c r="E13" s="69" t="n"/>
      <c r="F13" s="69" t="n"/>
      <c r="G13" s="18" t="inlineStr">
        <is>
          <t xml:space="preserve"> E-MAIL     :  </t>
        </is>
      </c>
      <c r="H13" s="26" t="n"/>
      <c r="I13" s="14" t="n"/>
      <c r="J13" s="25" t="n"/>
    </row>
    <row r="14" ht="18" customHeight="1" s="66" thickBot="1">
      <c r="A14" s="36" t="inlineStr">
        <is>
          <t>序</t>
        </is>
      </c>
      <c r="B14" s="37" t="inlineStr">
        <is>
          <t>品號</t>
        </is>
      </c>
      <c r="C14" s="62" t="inlineStr">
        <is>
          <t>品名 / 規格</t>
        </is>
      </c>
      <c r="D14" s="70" t="n"/>
      <c r="E14" s="71" t="n"/>
      <c r="F14" s="62" t="inlineStr">
        <is>
          <t>數量</t>
        </is>
      </c>
      <c r="G14" s="62" t="inlineStr">
        <is>
          <t>單位</t>
        </is>
      </c>
      <c r="H14" s="62" t="inlineStr">
        <is>
          <t>單  價</t>
        </is>
      </c>
      <c r="I14" s="72" t="inlineStr">
        <is>
          <t>小計</t>
        </is>
      </c>
      <c r="J14" s="73" t="n"/>
    </row>
    <row r="15" ht="18" customHeight="1" s="66">
      <c r="A15" s="74" t="n">
        <v>1</v>
      </c>
      <c r="B15" s="75" t="inlineStr">
        <is>
          <t>AP-15WB</t>
        </is>
      </c>
      <c r="C15" s="76" t="inlineStr">
        <is>
          <t>AP15WB電動油壓升降台車(雙叉式)</t>
        </is>
      </c>
      <c r="E15" s="77" t="n"/>
      <c r="F15" s="78" t="n">
        <v>1</v>
      </c>
      <c r="G15" s="75" t="inlineStr">
        <is>
          <t>台</t>
        </is>
      </c>
      <c r="H15" s="75" t="n">
        <v>39000</v>
      </c>
      <c r="I15" s="79">
        <f>F15*H15</f>
        <v/>
      </c>
      <c r="J15" s="80" t="n"/>
    </row>
    <row r="16" ht="18" customHeight="1" s="66" thickBot="1">
      <c r="A16" s="74" t="n"/>
      <c r="B16" s="75" t="n"/>
      <c r="C16" s="81" t="inlineStr">
        <is>
          <t>載重： 150KG</t>
        </is>
      </c>
      <c r="D16" s="81" t="n"/>
      <c r="E16" s="76" t="n"/>
      <c r="F16" s="78" t="n"/>
      <c r="G16" s="75" t="n"/>
      <c r="H16" s="75" t="n"/>
      <c r="I16" s="78" t="n"/>
      <c r="J16" s="82" t="n"/>
    </row>
    <row r="17" ht="18" customHeight="1" s="66" thickBot="1">
      <c r="A17" s="74" t="n"/>
      <c r="B17" s="75" t="n"/>
      <c r="C17" s="81" t="inlineStr">
        <is>
          <t>面板尺寸：815x500mm</t>
        </is>
      </c>
      <c r="D17" s="81" t="n"/>
      <c r="E17" s="76" t="n"/>
      <c r="F17" s="78" t="n"/>
      <c r="G17" s="75" t="n"/>
      <c r="H17" s="75" t="n"/>
      <c r="I17" s="78" t="n"/>
      <c r="J17" s="82" t="n"/>
    </row>
    <row r="18" ht="18" customHeight="1" s="66" thickBot="1">
      <c r="A18" s="74" t="n"/>
      <c r="B18" s="75" t="n"/>
      <c r="C18" s="81" t="inlineStr">
        <is>
          <t>最高高度：1370mm</t>
        </is>
      </c>
      <c r="D18" s="81" t="n"/>
      <c r="E18" s="76" t="n"/>
      <c r="F18" s="78" t="n"/>
      <c r="G18" s="75" t="n"/>
      <c r="H18" s="75" t="n"/>
      <c r="I18" s="78" t="n"/>
      <c r="J18" s="82" t="n"/>
    </row>
    <row r="19" ht="18" customHeight="1" s="66">
      <c r="A19" s="74" t="n"/>
      <c r="B19" s="75" t="n"/>
      <c r="C19" s="81" t="inlineStr">
        <is>
          <t xml:space="preserve">最低高度：376mm  </t>
        </is>
      </c>
      <c r="D19" s="81" t="n"/>
      <c r="E19" s="76" t="n"/>
      <c r="F19" s="78" t="n"/>
      <c r="G19" s="75" t="n"/>
      <c r="H19" s="75" t="n"/>
      <c r="I19" s="78" t="n"/>
      <c r="J19" s="82" t="n"/>
    </row>
    <row r="20" ht="18" customHeight="1" s="66">
      <c r="A20" s="74" t="n"/>
      <c r="B20" s="75" t="n"/>
      <c r="C20" s="81" t="inlineStr">
        <is>
          <t>機台尺寸 : 1000x500x900mm</t>
        </is>
      </c>
      <c r="D20" s="81" t="n"/>
      <c r="E20" s="76" t="n"/>
      <c r="F20" s="78" t="n"/>
      <c r="G20" s="75" t="n"/>
      <c r="H20" s="75" t="n"/>
      <c r="I20" s="78" t="n"/>
      <c r="J20" s="82" t="n"/>
    </row>
    <row r="21" ht="18" customHeight="1" s="66">
      <c r="A21" s="74" t="n"/>
      <c r="B21" s="75" t="n"/>
      <c r="C21" s="81" t="inlineStr">
        <is>
          <t>粉體塗裝</t>
        </is>
      </c>
      <c r="D21" s="81" t="n"/>
      <c r="E21" s="76" t="n"/>
      <c r="F21" s="78" t="n"/>
      <c r="G21" s="75" t="n"/>
      <c r="H21" s="75" t="n"/>
      <c r="I21" s="78" t="n"/>
      <c r="J21" s="82" t="n"/>
    </row>
    <row r="22" ht="18" customHeight="1" s="66">
      <c r="A22" s="74" t="n"/>
      <c r="B22" s="75" t="n"/>
      <c r="C22" s="81" t="inlineStr">
        <is>
          <t>顏色：標準Accuplus藍(機身)+白(把手)</t>
        </is>
      </c>
      <c r="D22" s="81" t="n"/>
      <c r="E22" s="76" t="n"/>
      <c r="F22" s="78" t="n"/>
      <c r="G22" s="75" t="n"/>
      <c r="H22" s="75" t="n"/>
      <c r="I22" s="78" t="n"/>
      <c r="J22" s="82" t="n"/>
    </row>
    <row r="23" ht="18" customHeight="1" s="66">
      <c r="A23" s="74" t="n"/>
      <c r="B23" s="75" t="n"/>
      <c r="C23" s="81" t="inlineStr">
        <is>
          <t>面板一體成型(高剛性)</t>
        </is>
      </c>
      <c r="D23" s="81" t="n"/>
      <c r="E23" s="76" t="n"/>
      <c r="F23" s="78" t="n"/>
      <c r="G23" s="75" t="n"/>
      <c r="H23" s="75" t="n"/>
      <c r="I23" s="78" t="n"/>
      <c r="J23" s="82" t="n"/>
    </row>
    <row r="24" ht="18" customHeight="1" s="66">
      <c r="A24" s="74" t="n"/>
      <c r="B24" s="75" t="n"/>
      <c r="C24" s="81" t="inlineStr">
        <is>
          <t>採用日本阪上油封</t>
        </is>
      </c>
      <c r="D24" s="81" t="n"/>
      <c r="E24" s="76" t="n"/>
      <c r="F24" s="78" t="n"/>
      <c r="G24" s="75" t="n"/>
      <c r="H24" s="75" t="n"/>
      <c r="I24" s="78" t="n"/>
      <c r="J24" s="82" t="n"/>
    </row>
    <row r="25" ht="18" customHeight="1" s="66">
      <c r="A25" s="74" t="n"/>
      <c r="B25" s="75" t="n"/>
      <c r="C25" s="81" t="inlineStr">
        <is>
          <t>附安全過載保護裝置</t>
        </is>
      </c>
      <c r="D25" s="81" t="n"/>
      <c r="E25" s="76" t="n"/>
      <c r="F25" s="78" t="n"/>
      <c r="G25" s="75" t="n"/>
      <c r="H25" s="75" t="n"/>
      <c r="I25" s="78" t="n"/>
      <c r="J25" s="82" t="n"/>
    </row>
    <row r="26" ht="18" customHeight="1" s="66" thickBot="1">
      <c r="A26" s="74" t="n"/>
      <c r="B26" s="75" t="n"/>
      <c r="C26" s="81" t="inlineStr">
        <is>
          <t>附安全防爆閥裝置</t>
        </is>
      </c>
      <c r="D26" s="81" t="n"/>
      <c r="E26" s="76" t="n"/>
      <c r="F26" s="78" t="n"/>
      <c r="G26" s="75" t="n"/>
      <c r="H26" s="75" t="n"/>
      <c r="I26" s="78" t="n"/>
      <c r="J26" s="82" t="n"/>
    </row>
    <row r="27" ht="18" customHeight="1" s="66">
      <c r="A27" s="74" t="n"/>
      <c r="B27" s="75" t="n"/>
      <c r="C27" s="81" t="inlineStr">
        <is>
          <t>附節流閥可控制降速</t>
        </is>
      </c>
      <c r="D27" s="81" t="n"/>
      <c r="E27" s="76" t="n"/>
      <c r="F27" s="78" t="n"/>
      <c r="G27" s="75" t="n"/>
      <c r="H27" s="75" t="n"/>
      <c r="I27" s="78" t="n"/>
      <c r="J27" s="82" t="n"/>
    </row>
    <row r="28" ht="18" customHeight="1" s="66" thickBot="1">
      <c r="A28" s="74" t="n"/>
      <c r="B28" s="75" t="n"/>
      <c r="C28" s="81" t="inlineStr">
        <is>
          <t>附活動煞車輪</t>
        </is>
      </c>
      <c r="D28" s="81" t="n"/>
      <c r="E28" s="76" t="n"/>
      <c r="F28" s="78" t="n"/>
      <c r="G28" s="75" t="n"/>
      <c r="H28" s="75" t="n"/>
      <c r="I28" s="78" t="n"/>
      <c r="J28" s="82" t="n"/>
    </row>
    <row r="29" ht="18" customHeight="1" s="66" thickTop="1">
      <c r="A29" s="83" t="n"/>
      <c r="B29" s="84" t="n"/>
      <c r="C29" s="85" t="n"/>
      <c r="D29" s="85" t="n"/>
      <c r="E29" s="86" t="n"/>
      <c r="F29" s="87" t="n"/>
      <c r="G29" s="84" t="n"/>
      <c r="H29" s="84" t="n"/>
      <c r="I29" s="87" t="n"/>
      <c r="J29" s="88" t="n"/>
    </row>
    <row r="30" ht="18" customHeight="1" s="66">
      <c r="A30" s="74" t="n">
        <v>2</v>
      </c>
      <c r="B30" s="75" t="inlineStr">
        <is>
          <t>AP-30B</t>
        </is>
      </c>
      <c r="C30" s="76" t="inlineStr">
        <is>
          <t>AP-30B電動油壓升降台車</t>
        </is>
      </c>
      <c r="E30" s="77" t="n"/>
      <c r="F30" s="78" t="n">
        <v>1</v>
      </c>
      <c r="G30" s="75" t="inlineStr">
        <is>
          <t>台</t>
        </is>
      </c>
      <c r="H30" s="75" t="n">
        <v>35500</v>
      </c>
      <c r="I30" s="79">
        <f>F30*H30</f>
        <v/>
      </c>
      <c r="J30" s="80" t="n"/>
    </row>
    <row r="31" ht="18" customHeight="1" s="66">
      <c r="A31" s="74" t="n"/>
      <c r="B31" s="75" t="n"/>
      <c r="C31" s="81" t="inlineStr">
        <is>
          <t>載重： 300 Kgs</t>
        </is>
      </c>
      <c r="D31" s="81" t="n"/>
      <c r="E31" s="76" t="n"/>
      <c r="F31" s="78" t="n"/>
      <c r="G31" s="75" t="n"/>
      <c r="H31" s="75" t="n"/>
      <c r="I31" s="78" t="n"/>
      <c r="J31" s="82" t="n"/>
    </row>
    <row r="32" ht="18" customHeight="1" s="66">
      <c r="A32" s="74" t="n"/>
      <c r="B32" s="75" t="n"/>
      <c r="C32" s="81" t="inlineStr">
        <is>
          <t>面板尺寸：815x500mm</t>
        </is>
      </c>
      <c r="D32" s="81" t="n"/>
      <c r="E32" s="76" t="n"/>
      <c r="F32" s="78" t="n"/>
      <c r="G32" s="75" t="n"/>
      <c r="H32" s="75" t="n"/>
      <c r="I32" s="78" t="n"/>
      <c r="J32" s="82" t="n"/>
    </row>
    <row r="33" ht="18" customHeight="1" s="66">
      <c r="A33" s="74" t="n"/>
      <c r="B33" s="75" t="n"/>
      <c r="C33" s="81" t="inlineStr">
        <is>
          <t>最高高度：860mm</t>
        </is>
      </c>
      <c r="D33" s="81" t="n"/>
      <c r="E33" s="76" t="n"/>
      <c r="F33" s="78" t="n"/>
      <c r="G33" s="75" t="n"/>
      <c r="H33" s="75" t="n"/>
      <c r="I33" s="78" t="n"/>
      <c r="J33" s="82" t="n"/>
    </row>
    <row r="34" ht="18" customHeight="1" s="66">
      <c r="A34" s="74" t="n"/>
      <c r="B34" s="75" t="n"/>
      <c r="C34" s="81" t="inlineStr">
        <is>
          <t>最低高度： 290mm</t>
        </is>
      </c>
      <c r="D34" s="81" t="n"/>
      <c r="E34" s="76" t="n"/>
      <c r="F34" s="78" t="n"/>
      <c r="G34" s="75" t="n"/>
      <c r="H34" s="75" t="n"/>
      <c r="I34" s="78" t="n"/>
      <c r="J34" s="82" t="n"/>
    </row>
    <row r="35" ht="18" customHeight="1" s="66">
      <c r="A35" s="74" t="n"/>
      <c r="B35" s="75" t="n"/>
      <c r="C35" s="81" t="inlineStr">
        <is>
          <t>機台尺寸：1060x500x880mm</t>
        </is>
      </c>
      <c r="D35" s="81" t="n"/>
      <c r="E35" s="76" t="n"/>
      <c r="F35" s="78" t="n"/>
      <c r="G35" s="75" t="n"/>
      <c r="H35" s="75" t="n"/>
      <c r="I35" s="78" t="n"/>
      <c r="J35" s="82" t="n"/>
    </row>
    <row r="36" ht="18" customHeight="1" s="66">
      <c r="A36" s="74" t="n"/>
      <c r="B36" s="75" t="n"/>
      <c r="C36" s="81" t="inlineStr">
        <is>
          <t>粉體塗裝</t>
        </is>
      </c>
      <c r="D36" s="81" t="n"/>
      <c r="E36" s="76" t="n"/>
      <c r="F36" s="78" t="n"/>
      <c r="G36" s="75" t="n"/>
      <c r="H36" s="75" t="n"/>
      <c r="I36" s="78" t="n"/>
      <c r="J36" s="82" t="n"/>
    </row>
    <row r="37" ht="18" customHeight="1" s="66">
      <c r="A37" s="74" t="n"/>
      <c r="B37" s="75" t="n"/>
      <c r="C37" s="81" t="inlineStr">
        <is>
          <t>顏色：標準Accuplus藍(機身)+白(把手)</t>
        </is>
      </c>
      <c r="D37" s="81" t="n"/>
      <c r="E37" s="76" t="n"/>
      <c r="F37" s="78" t="n"/>
      <c r="G37" s="75" t="n"/>
      <c r="H37" s="75" t="n"/>
      <c r="I37" s="78" t="n"/>
      <c r="J37" s="82" t="n"/>
    </row>
    <row r="38" ht="18" customHeight="1" s="66">
      <c r="A38" s="74" t="n"/>
      <c r="B38" s="75" t="n"/>
      <c r="C38" s="81" t="inlineStr">
        <is>
          <t>面板一體成型(高剛性)</t>
        </is>
      </c>
      <c r="D38" s="81" t="n"/>
      <c r="E38" s="76" t="n"/>
      <c r="F38" s="78" t="n"/>
      <c r="G38" s="75" t="n"/>
      <c r="H38" s="75" t="n"/>
      <c r="I38" s="78" t="n"/>
      <c r="J38" s="82" t="n"/>
    </row>
    <row r="39" ht="18" customHeight="1" s="66">
      <c r="A39" s="74" t="n"/>
      <c r="B39" s="75" t="n"/>
      <c r="C39" s="81" t="inlineStr">
        <is>
          <t>採用日本阪上油封</t>
        </is>
      </c>
      <c r="D39" s="81" t="n"/>
      <c r="E39" s="76" t="n"/>
      <c r="F39" s="78" t="n"/>
      <c r="G39" s="75" t="n"/>
      <c r="H39" s="75" t="n"/>
      <c r="I39" s="78" t="n"/>
      <c r="J39" s="82" t="n"/>
    </row>
    <row r="40" ht="18" customHeight="1" s="66">
      <c r="A40" s="74" t="n"/>
      <c r="B40" s="75" t="n"/>
      <c r="C40" s="81" t="inlineStr">
        <is>
          <t>附安全過載保護裝置</t>
        </is>
      </c>
      <c r="D40" s="81" t="n"/>
      <c r="E40" s="76" t="n"/>
      <c r="F40" s="78" t="n"/>
      <c r="G40" s="75" t="n"/>
      <c r="H40" s="75" t="n"/>
      <c r="I40" s="78" t="n"/>
      <c r="J40" s="82" t="n"/>
    </row>
    <row r="41" ht="18" customHeight="1" s="66">
      <c r="A41" s="74" t="n"/>
      <c r="B41" s="75" t="n"/>
      <c r="C41" s="81" t="inlineStr">
        <is>
          <t>附安全防爆閥裝置</t>
        </is>
      </c>
      <c r="D41" s="81" t="n"/>
      <c r="E41" s="76" t="n"/>
      <c r="F41" s="78" t="n"/>
      <c r="G41" s="75" t="n"/>
      <c r="H41" s="75" t="n"/>
      <c r="I41" s="78" t="n"/>
      <c r="J41" s="82" t="n"/>
    </row>
    <row r="42" ht="18" customHeight="1" s="66">
      <c r="A42" s="74" t="n"/>
      <c r="B42" s="75" t="n"/>
      <c r="C42" s="81" t="inlineStr">
        <is>
          <t>附節流閥可控制降速</t>
        </is>
      </c>
      <c r="D42" s="81" t="n"/>
      <c r="E42" s="76" t="n"/>
      <c r="F42" s="78" t="n"/>
      <c r="G42" s="75" t="n"/>
      <c r="H42" s="75" t="n"/>
      <c r="I42" s="78" t="n"/>
      <c r="J42" s="82" t="n"/>
    </row>
    <row r="43" ht="18" customHeight="1" s="66">
      <c r="A43" s="74" t="n"/>
      <c r="B43" s="75" t="n"/>
      <c r="C43" s="81" t="inlineStr">
        <is>
          <t>附活動煞車輪</t>
        </is>
      </c>
      <c r="D43" s="81" t="n"/>
      <c r="E43" s="76" t="n"/>
      <c r="F43" s="78" t="n"/>
      <c r="G43" s="75" t="n"/>
      <c r="H43" s="75" t="n"/>
      <c r="I43" s="78" t="n"/>
      <c r="J43" s="82" t="n"/>
    </row>
    <row r="44">
      <c r="A44" s="51" t="inlineStr">
        <is>
          <t>營業稅</t>
        </is>
      </c>
      <c r="B44" s="70" t="n"/>
      <c r="C44" s="70" t="n"/>
      <c r="D44" s="70" t="n"/>
      <c r="E44" s="70" t="n"/>
      <c r="F44" s="70" t="n"/>
      <c r="G44" s="71" t="n"/>
      <c r="H44" s="89">
        <f>ROUND(SUM(I15:I43)*0.05,0)</f>
        <v/>
      </c>
      <c r="I44" s="70" t="n"/>
      <c r="J44" s="71" t="n"/>
    </row>
    <row r="45">
      <c r="A45" s="51" t="inlineStr">
        <is>
          <t>應收總金額</t>
        </is>
      </c>
      <c r="B45" s="70" t="n"/>
      <c r="C45" s="70" t="n"/>
      <c r="D45" s="70" t="n"/>
      <c r="E45" s="70" t="n"/>
      <c r="F45" s="70" t="n"/>
      <c r="G45" s="71" t="n"/>
      <c r="H45" s="90">
        <f>SUM(I15:I43)+H44</f>
        <v/>
      </c>
      <c r="I45" s="70" t="n"/>
      <c r="J45" s="71" t="n"/>
    </row>
    <row r="46">
      <c r="A46" s="45" t="inlineStr">
        <is>
          <t>備註:</t>
        </is>
      </c>
      <c r="B46" s="14" t="inlineStr">
        <is>
          <t>1.以上皆免費保固一年(非人為損壞及耗材)</t>
        </is>
      </c>
      <c r="C46" s="14" t="n"/>
      <c r="D46" s="14" t="n"/>
      <c r="E46" s="14" t="n"/>
      <c r="F46" s="18" t="n"/>
      <c r="G46" s="18" t="n"/>
      <c r="H46" s="14" t="n"/>
      <c r="I46" s="14" t="n"/>
      <c r="J46" s="25" t="n"/>
    </row>
    <row r="47">
      <c r="A47" s="45" t="n"/>
      <c r="B47" s="14" t="inlineStr">
        <is>
          <t>2.確定訂單內容後請簽章並回傳</t>
        </is>
      </c>
      <c r="C47" s="14" t="n"/>
      <c r="D47" s="14" t="n"/>
      <c r="E47" s="14" t="n"/>
      <c r="F47" s="18" t="n"/>
      <c r="G47" s="18" t="n"/>
      <c r="H47" s="18" t="inlineStr">
        <is>
          <t>訂購請簽章回傳</t>
        </is>
      </c>
      <c r="I47" s="14" t="n"/>
      <c r="J47" s="25" t="n"/>
    </row>
    <row r="48">
      <c r="A48" s="46" t="n"/>
      <c r="B48" s="14" t="inlineStr">
        <is>
          <t>3.以上交易價格含營業稅</t>
        </is>
      </c>
      <c r="C48" s="14" t="n"/>
      <c r="D48" s="14" t="n"/>
      <c r="E48" s="27" t="n"/>
      <c r="F48" s="28" t="n"/>
      <c r="G48" s="28" t="n"/>
      <c r="H48" s="27" t="n"/>
      <c r="I48" s="14" t="n"/>
      <c r="J48" s="25" t="n"/>
    </row>
    <row r="49">
      <c r="A49" s="46" t="n"/>
      <c r="B49" s="14" t="inlineStr">
        <is>
          <t>4.付款方式：請匯款至</t>
        </is>
      </c>
      <c r="C49" s="27" t="n"/>
      <c r="D49" s="27" t="n"/>
      <c r="E49" s="16" t="n"/>
      <c r="F49" s="16" t="n"/>
      <c r="G49" s="18" t="n"/>
      <c r="H49" s="14" t="n"/>
      <c r="I49" s="14" t="n"/>
      <c r="J49" s="25" t="n"/>
    </row>
    <row r="50">
      <c r="A50" s="46" t="n"/>
      <c r="B50" s="19" t="inlineStr">
        <is>
          <t>戶        名：</t>
        </is>
      </c>
      <c r="C50" s="14" t="inlineStr">
        <is>
          <t>立善科技有限公司</t>
        </is>
      </c>
      <c r="D50" s="14" t="n"/>
      <c r="E50" s="14" t="n"/>
      <c r="F50" s="14" t="n"/>
      <c r="G50" s="14" t="n"/>
      <c r="H50" s="14" t="n"/>
      <c r="I50" s="14" t="n"/>
      <c r="J50" s="25" t="n"/>
    </row>
    <row r="51">
      <c r="A51" s="46" t="n"/>
      <c r="B51" s="19" t="inlineStr">
        <is>
          <t>銀        行：</t>
        </is>
      </c>
      <c r="C51" s="14" t="inlineStr">
        <is>
          <t>「華南銀行 台中港路分行」</t>
        </is>
      </c>
      <c r="D51" s="14" t="n"/>
      <c r="E51" s="14" t="n"/>
      <c r="F51" s="14" t="n"/>
      <c r="G51" s="14" t="n"/>
      <c r="H51" s="14" t="n"/>
      <c r="I51" s="14" t="n"/>
      <c r="J51" s="25" t="n"/>
    </row>
    <row r="52">
      <c r="A52" s="46" t="n"/>
      <c r="B52" s="19" t="inlineStr">
        <is>
          <t>銀行代碼：</t>
        </is>
      </c>
      <c r="C52" s="47" t="inlineStr">
        <is>
          <t>008</t>
        </is>
      </c>
      <c r="D52" s="31" t="n"/>
      <c r="E52" s="14" t="n"/>
      <c r="F52" s="14" t="n"/>
      <c r="G52" s="14" t="n"/>
      <c r="H52" s="14" t="n"/>
      <c r="I52" s="14" t="n"/>
      <c r="J52" s="25" t="n"/>
    </row>
    <row r="53">
      <c r="A53" s="46" t="n"/>
      <c r="B53" s="29" t="inlineStr">
        <is>
          <t>帳        號：</t>
        </is>
      </c>
      <c r="C53" s="30" t="inlineStr">
        <is>
          <t>424-10-004051-9</t>
        </is>
      </c>
      <c r="D53" s="14" t="n"/>
      <c r="E53" s="14" t="n"/>
      <c r="F53" s="14" t="n"/>
      <c r="G53" s="14" t="n"/>
      <c r="H53" s="50" t="n"/>
      <c r="I53" s="14" t="n"/>
      <c r="J53" s="25" t="n"/>
    </row>
    <row r="54">
      <c r="A54" s="23" t="n"/>
      <c r="B54" s="29" t="n"/>
      <c r="C54" s="30" t="n"/>
      <c r="D54" s="31" t="n"/>
      <c r="E54" s="14" t="n"/>
      <c r="F54" s="14" t="n"/>
      <c r="G54" s="14" t="n"/>
      <c r="H54" s="14" t="n"/>
      <c r="I54" s="14" t="n"/>
      <c r="J54" s="25" t="n"/>
    </row>
    <row r="55">
      <c r="A55" s="43" t="inlineStr">
        <is>
          <t>製表人：</t>
        </is>
      </c>
      <c r="B55" s="44" t="inlineStr">
        <is>
          <t>小皋</t>
        </is>
      </c>
      <c r="C55" s="32" t="n"/>
      <c r="D55" s="32" t="n"/>
      <c r="E55" s="33" t="n"/>
      <c r="F55" s="33" t="n"/>
      <c r="G55" s="33" t="n"/>
      <c r="H55" s="33" t="n"/>
      <c r="I55" s="32" t="n"/>
      <c r="J55" s="34" t="n"/>
    </row>
  </sheetData>
  <mergeCells count="15">
    <mergeCell ref="I30:J30"/>
    <mergeCell ref="A44:G44"/>
    <mergeCell ref="C14:E14"/>
    <mergeCell ref="I15:J15"/>
    <mergeCell ref="H10:I10"/>
    <mergeCell ref="B11:F11"/>
    <mergeCell ref="H45:J45"/>
    <mergeCell ref="C15:E15"/>
    <mergeCell ref="H44:J44"/>
    <mergeCell ref="A7:J7"/>
    <mergeCell ref="I14:J14"/>
    <mergeCell ref="C30:E30"/>
    <mergeCell ref="H11:J11"/>
    <mergeCell ref="B13:F13"/>
    <mergeCell ref="A45:G45"/>
  </mergeCells>
  <printOptions horizontalCentered="1"/>
  <pageMargins left="0.3149606299212598" right="0.3149606299212598" top="0.1574803149606299" bottom="0.1574803149606299" header="0.3149606299212598" footer="0.3149606299212598"/>
  <pageSetup orientation="portrait" paperSize="9" scale="85" horizontalDpi="1200" verticalDpi="1200"/>
  <headerFooter>
    <oddHeader>&amp;L&amp;C&amp;R</oddHeader>
    <oddFooter>&amp;C第 &amp;P 頁，共 &amp;N 頁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2016-10-26T07:46:52Z</dcterms:created>
  <dcterms:modified xmlns:dcterms="http://purl.org/dc/terms/" xmlns:xsi="http://www.w3.org/2001/XMLSchema-instance" xsi:type="dcterms:W3CDTF">2026-05-22T06:33:55Z</dcterms:modified>
  <cp:lastModifiedBy>usr</cp:lastModifiedBy>
  <cp:lastPrinted>2020-10-06T05:35:38Z</cp:lastPrinted>
</cp:coreProperties>
</file>