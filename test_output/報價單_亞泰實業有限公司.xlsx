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工作表1" sheetId="1" state="visible" r:id="rId1"/>
    <sheet xmlns:r="http://schemas.openxmlformats.org/officeDocument/2006/relationships" name="工作表2" sheetId="2" state="visible" r:id="rId2"/>
    <sheet xmlns:r="http://schemas.openxmlformats.org/officeDocument/2006/relationships" name="工作表3" sheetId="3" state="visible" r:id="rId3"/>
  </sheets>
  <definedNames>
    <definedName name="_xlnm.Print_Titles" localSheetId="0">'工作表1'!$1:$13</definedName>
    <definedName name="_xlnm.Print_Area" localSheetId="0">'工作表1'!$A$1:$J$42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#,##0_);[Red]\(#,##0\)"/>
    <numFmt numFmtId="165" formatCode="_-\$* #,##0_-;&quot;-$&quot;* #,##0_-;_-\$* \-?_-;_-@_-"/>
    <numFmt numFmtId="166" formatCode="_-\$* #,##0_-;&quot;-$&quot;* #,##0_-;_-\$* \-??_-;_-@_-"/>
  </numFmts>
  <fonts count="28">
    <font>
      <name val="新細明體"/>
      <charset val="136"/>
      <family val="2"/>
      <color theme="1"/>
      <sz val="12"/>
      <scheme val="minor"/>
    </font>
    <font>
      <name val="Times New Roman"/>
      <family val="1"/>
      <color theme="1"/>
      <sz val="12"/>
    </font>
    <font>
      <name val="新細明體"/>
      <charset val="136"/>
      <family val="1"/>
      <b val="1"/>
      <color theme="1"/>
      <sz val="14"/>
    </font>
    <font>
      <name val="新細明體"/>
      <charset val="136"/>
      <family val="1"/>
      <color theme="1"/>
      <sz val="14"/>
    </font>
    <font>
      <name val="新細明體"/>
      <charset val="136"/>
      <family val="1"/>
      <color theme="1"/>
      <sz val="12"/>
    </font>
    <font>
      <name val="新細明體"/>
      <charset val="136"/>
      <family val="2"/>
      <sz val="9"/>
      <scheme val="minor"/>
    </font>
    <font>
      <name val="新細明體"/>
      <charset val="136"/>
      <family val="1"/>
      <color theme="1"/>
      <sz val="12"/>
      <scheme val="minor"/>
    </font>
    <font>
      <name val="新細明體"/>
      <charset val="136"/>
      <family val="2"/>
      <color theme="10"/>
      <sz val="12"/>
      <u val="single"/>
      <scheme val="minor"/>
    </font>
    <font>
      <name val="新細明體"/>
      <charset val="136"/>
      <family val="1"/>
      <color rgb="FF000000"/>
      <sz val="12"/>
      <scheme val="minor"/>
    </font>
    <font>
      <name val="新細明體"/>
      <charset val="136"/>
      <family val="1"/>
      <b val="1"/>
      <color rgb="FF00000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1"/>
      <color rgb="FFFF0000"/>
      <sz val="12"/>
      <scheme val="minor"/>
    </font>
    <font>
      <name val="微軟正黑體"/>
      <charset val="136"/>
      <family val="2"/>
      <color theme="1"/>
      <sz val="12"/>
    </font>
    <font>
      <name val="微軟正黑體"/>
      <charset val="136"/>
      <family val="2"/>
      <color rgb="FFFF0000"/>
      <sz val="12"/>
    </font>
    <font>
      <name val="微軟正黑體"/>
      <charset val="136"/>
      <family val="2"/>
      <color rgb="FF000000"/>
      <sz val="12"/>
    </font>
    <font>
      <name val="微軟正黑體"/>
      <charset val="136"/>
      <family val="2"/>
      <b val="1"/>
      <color theme="1"/>
      <sz val="12"/>
    </font>
    <font>
      <name val="微軟正黑體"/>
      <charset val="136"/>
      <family val="2"/>
      <sz val="12"/>
    </font>
    <font>
      <name val="Arial"/>
      <family val="2"/>
      <color theme="1"/>
      <sz val="12"/>
    </font>
    <font>
      <name val="微軟正黑體"/>
      <charset val="136"/>
      <family val="2"/>
      <b val="1"/>
      <color theme="1"/>
      <sz val="16"/>
    </font>
    <font>
      <name val="微軟正黑體"/>
      <charset val="136"/>
      <family val="2"/>
      <color theme="1"/>
      <sz val="10"/>
    </font>
    <font>
      <name val="微軟正黑體"/>
      <charset val="136"/>
      <family val="2"/>
      <color theme="1"/>
      <sz val="11"/>
    </font>
    <font>
      <name val="微軟正黑體"/>
      <charset val="136"/>
      <family val="2"/>
      <b val="1"/>
      <color theme="1"/>
      <sz val="12"/>
      <u val="single"/>
    </font>
    <font>
      <name val="微軟正黑體"/>
      <charset val="136"/>
      <family val="2"/>
      <b val="1"/>
      <color rgb="FF000000"/>
      <sz val="12"/>
    </font>
    <font>
      <name val="Microsoft JhengHei"/>
      <charset val="136"/>
      <family val="2"/>
      <color theme="1"/>
      <sz val="12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1"/>
      <sz val="12"/>
    </font>
    <font>
      <name val="新細明體"/>
      <charset val="136"/>
      <family val="1"/>
      <sz val="9"/>
    </font>
    <font>
      <name val="Arial"/>
      <family val="2"/>
      <sz val="12"/>
    </font>
  </fonts>
  <fills count="3">
    <fill>
      <patternFill/>
    </fill>
    <fill>
      <patternFill patternType="gray125"/>
    </fill>
    <fill>
      <patternFill patternType="solid">
        <fgColor indexed="9"/>
        <bgColor indexed="26"/>
      </patternFill>
    </fill>
  </fills>
  <borders count="2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theme="1"/>
      </left>
      <right style="thick">
        <color indexed="64"/>
      </right>
      <top style="thick">
        <color indexed="64"/>
      </top>
      <bottom/>
      <diagonal/>
    </border>
    <border>
      <left style="thick">
        <color theme="1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</borders>
  <cellStyleXfs count="3">
    <xf numFmtId="0" fontId="24" fillId="0" borderId="0" applyAlignment="1">
      <alignment vertical="center"/>
    </xf>
    <xf numFmtId="0" fontId="7" fillId="0" borderId="0" applyAlignment="1">
      <alignment vertical="center"/>
    </xf>
    <xf numFmtId="44" fontId="24" fillId="0" borderId="0" applyAlignment="1">
      <alignment vertical="center"/>
    </xf>
  </cellStyleXfs>
  <cellXfs count="11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1">
      <alignment vertical="center"/>
    </xf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top"/>
    </xf>
    <xf numFmtId="0" fontId="14" fillId="0" borderId="0" applyAlignment="1" pivotButton="0" quotePrefix="0" xfId="0">
      <alignment horizontal="left" vertical="center"/>
    </xf>
    <xf numFmtId="0" fontId="15" fillId="0" borderId="6" applyAlignment="1" pivotButton="0" quotePrefix="0" xfId="0">
      <alignment horizontal="center" vertical="center"/>
    </xf>
    <xf numFmtId="0" fontId="12" fillId="0" borderId="6" applyAlignment="1" pivotButton="0" quotePrefix="0" xfId="0">
      <alignment vertical="center"/>
    </xf>
    <xf numFmtId="0" fontId="12" fillId="0" borderId="6" applyAlignment="1" pivotButton="0" quotePrefix="0" xfId="0">
      <alignment horizontal="center" vertical="center"/>
    </xf>
    <xf numFmtId="0" fontId="12" fillId="0" borderId="5" applyAlignment="1" pivotButton="0" quotePrefix="0" xfId="0">
      <alignment vertical="center"/>
    </xf>
    <xf numFmtId="0" fontId="12" fillId="0" borderId="18" applyAlignment="1" pivotButton="0" quotePrefix="0" xfId="0">
      <alignment horizontal="center" vertical="center"/>
    </xf>
    <xf numFmtId="0" fontId="12" fillId="0" borderId="20" applyAlignment="1" pivotButton="0" quotePrefix="0" xfId="0">
      <alignment horizontal="center" vertical="center"/>
    </xf>
    <xf numFmtId="164" fontId="12" fillId="0" borderId="20" applyAlignment="1" pivotButton="0" quotePrefix="0" xfId="0">
      <alignment horizontal="center" vertical="center" wrapText="1"/>
    </xf>
    <xf numFmtId="0" fontId="12" fillId="0" borderId="19" applyAlignment="1" pivotButton="0" quotePrefix="0" xfId="0">
      <alignment horizontal="center" vertical="center"/>
    </xf>
    <xf numFmtId="164" fontId="12" fillId="0" borderId="0" applyAlignment="1" pivotButton="0" quotePrefix="0" xfId="0">
      <alignment vertical="center"/>
    </xf>
    <xf numFmtId="3" fontId="12" fillId="0" borderId="5" applyAlignment="1" pivotButton="0" quotePrefix="0" xfId="0">
      <alignment vertical="center"/>
    </xf>
    <xf numFmtId="164" fontId="12" fillId="0" borderId="6" applyAlignment="1" pivotButton="0" quotePrefix="0" xfId="0">
      <alignment vertical="center" wrapText="1"/>
    </xf>
    <xf numFmtId="164" fontId="12" fillId="0" borderId="6" applyAlignment="1" pivotButton="0" quotePrefix="0" xfId="0">
      <alignment horizontal="center" vertical="center" wrapText="1"/>
    </xf>
    <xf numFmtId="0" fontId="12" fillId="0" borderId="5" applyAlignment="1" pivotButton="0" quotePrefix="0" xfId="0">
      <alignment vertical="top"/>
    </xf>
    <xf numFmtId="0" fontId="12" fillId="0" borderId="7" applyAlignment="1" pivotButton="0" quotePrefix="0" xfId="0">
      <alignment vertical="center"/>
    </xf>
    <xf numFmtId="0" fontId="13" fillId="0" borderId="6" applyAlignment="1" pivotButton="0" quotePrefix="0" xfId="0">
      <alignment vertical="center"/>
    </xf>
    <xf numFmtId="0" fontId="16" fillId="0" borderId="0" pivotButton="0" quotePrefix="0" xfId="0"/>
    <xf numFmtId="0" fontId="13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vertical="center"/>
    </xf>
    <xf numFmtId="0" fontId="12" fillId="0" borderId="2" applyAlignment="1" pivotButton="0" quotePrefix="0" xfId="0">
      <alignment vertical="center"/>
    </xf>
    <xf numFmtId="49" fontId="12" fillId="0" borderId="0" applyAlignment="1" pivotButton="0" quotePrefix="0" xfId="0">
      <alignment vertical="center"/>
    </xf>
    <xf numFmtId="14" fontId="12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right" vertical="center"/>
    </xf>
    <xf numFmtId="0" fontId="12" fillId="0" borderId="1" applyAlignment="1" pivotButton="0" quotePrefix="0" xfId="0">
      <alignment horizontal="left" vertical="center"/>
    </xf>
    <xf numFmtId="14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vertical="center"/>
    </xf>
    <xf numFmtId="0" fontId="12" fillId="0" borderId="4" applyAlignment="1" pivotButton="0" quotePrefix="0" xfId="0">
      <alignment horizontal="left" vertical="center"/>
    </xf>
    <xf numFmtId="0" fontId="12" fillId="0" borderId="17" applyAlignment="1" pivotButton="0" quotePrefix="0" xfId="0">
      <alignment horizontal="left" vertical="center"/>
    </xf>
    <xf numFmtId="0" fontId="12" fillId="0" borderId="10" applyAlignment="1" pivotButton="0" quotePrefix="0" xfId="0">
      <alignment vertical="center"/>
    </xf>
    <xf numFmtId="0" fontId="12" fillId="0" borderId="16" applyAlignment="1" pivotButton="0" quotePrefix="0" xfId="0">
      <alignment vertical="center"/>
    </xf>
    <xf numFmtId="0" fontId="12" fillId="0" borderId="0" applyAlignment="1" pivotButton="0" quotePrefix="0" xfId="0">
      <alignment horizontal="left" vertical="center" shrinkToFit="1"/>
    </xf>
    <xf numFmtId="0" fontId="20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vertical="center"/>
    </xf>
    <xf numFmtId="0" fontId="19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/>
    </xf>
    <xf numFmtId="0" fontId="12" fillId="0" borderId="11" applyAlignment="1" pivotButton="0" quotePrefix="0" xfId="0">
      <alignment horizontal="center" vertical="center" wrapText="1"/>
    </xf>
    <xf numFmtId="0" fontId="12" fillId="0" borderId="4" applyAlignment="1" pivotButton="0" quotePrefix="0" xfId="0">
      <alignment horizontal="right" vertical="center"/>
    </xf>
    <xf numFmtId="0" fontId="12" fillId="0" borderId="4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right" vertical="center"/>
    </xf>
    <xf numFmtId="0" fontId="14" fillId="0" borderId="0" applyAlignment="1" pivotButton="0" quotePrefix="0" xfId="0">
      <alignment vertical="center"/>
    </xf>
    <xf numFmtId="0" fontId="12" fillId="0" borderId="8" applyAlignment="1" pivotButton="0" quotePrefix="0" xfId="0">
      <alignment vertical="center"/>
    </xf>
    <xf numFmtId="0" fontId="12" fillId="0" borderId="9" applyAlignment="1" pivotButton="0" quotePrefix="0" xfId="0">
      <alignment vertical="center"/>
    </xf>
    <xf numFmtId="0" fontId="22" fillId="0" borderId="9" applyAlignment="1" pivotButton="0" quotePrefix="0" xfId="0">
      <alignment vertical="center"/>
    </xf>
    <xf numFmtId="0" fontId="13" fillId="0" borderId="6" applyAlignment="1" pivotButton="0" quotePrefix="0" xfId="0">
      <alignment horizontal="center" vertical="center"/>
    </xf>
    <xf numFmtId="0" fontId="14" fillId="0" borderId="20" applyAlignment="1" pivotButton="0" quotePrefix="0" xfId="0">
      <alignment horizontal="center" vertical="center"/>
    </xf>
    <xf numFmtId="0" fontId="14" fillId="0" borderId="9" applyAlignment="1" pivotButton="0" quotePrefix="0" xfId="0">
      <alignment horizontal="right" vertical="center"/>
    </xf>
    <xf numFmtId="0" fontId="14" fillId="0" borderId="9" applyAlignment="1" pivotButton="0" quotePrefix="0" xfId="0">
      <alignment vertical="center"/>
    </xf>
    <xf numFmtId="0" fontId="12" fillId="0" borderId="0" applyAlignment="1" pivotButton="0" quotePrefix="0" xfId="0">
      <alignment vertical="center" shrinkToFit="1"/>
    </xf>
    <xf numFmtId="0" fontId="23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0" fillId="0" borderId="0" pivotButton="0" quotePrefix="0" xfId="0"/>
    <xf numFmtId="0" fontId="2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pivotButton="0" quotePrefix="0" xfId="0"/>
    <xf numFmtId="166" fontId="27" fillId="2" borderId="22" pivotButton="0" quotePrefix="0" xfId="2"/>
    <xf numFmtId="166" fontId="27" fillId="0" borderId="22" pivotButton="0" quotePrefix="0" xfId="2"/>
    <xf numFmtId="3" fontId="12" fillId="0" borderId="0" applyAlignment="1" pivotButton="0" quotePrefix="0" xfId="0">
      <alignment horizontal="center" vertical="center"/>
    </xf>
    <xf numFmtId="3" fontId="12" fillId="0" borderId="5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2" fillId="0" borderId="12" applyAlignment="1" pivotButton="0" quotePrefix="0" xfId="0">
      <alignment horizontal="center" vertical="center" wrapText="1"/>
    </xf>
    <xf numFmtId="0" fontId="12" fillId="0" borderId="11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center" wrapText="1"/>
    </xf>
    <xf numFmtId="0" fontId="12" fillId="0" borderId="10" applyAlignment="1" pivotButton="0" quotePrefix="0" xfId="0">
      <alignment horizontal="left" vertical="top" wrapText="1"/>
    </xf>
    <xf numFmtId="0" fontId="12" fillId="0" borderId="0" applyAlignment="1" pivotButton="0" quotePrefix="0" xfId="0">
      <alignment vertical="top" wrapText="1"/>
    </xf>
    <xf numFmtId="0" fontId="12" fillId="0" borderId="5" applyAlignment="1" pivotButton="0" quotePrefix="0" xfId="0">
      <alignment vertical="top" wrapText="1"/>
    </xf>
    <xf numFmtId="0" fontId="12" fillId="0" borderId="0" applyAlignment="1" pivotButton="0" quotePrefix="0" xfId="0">
      <alignment vertical="center" wrapText="1"/>
    </xf>
    <xf numFmtId="0" fontId="12" fillId="0" borderId="2" applyAlignment="1" pivotButton="0" quotePrefix="0" xfId="0">
      <alignment horizontal="left" vertical="center"/>
    </xf>
    <xf numFmtId="0" fontId="12" fillId="0" borderId="13" applyAlignment="1" pivotButton="0" quotePrefix="0" xfId="0">
      <alignment horizontal="right" vertical="center"/>
    </xf>
    <xf numFmtId="0" fontId="12" fillId="0" borderId="14" applyAlignment="1" pivotButton="0" quotePrefix="0" xfId="0">
      <alignment horizontal="right" vertical="center"/>
    </xf>
    <xf numFmtId="0" fontId="12" fillId="0" borderId="15" applyAlignment="1" pivotButton="0" quotePrefix="0" xfId="0">
      <alignment horizontal="right" vertical="center"/>
    </xf>
    <xf numFmtId="164" fontId="15" fillId="0" borderId="13" applyAlignment="1" pivotButton="0" quotePrefix="0" xfId="0">
      <alignment horizontal="center" vertical="top" wrapText="1"/>
    </xf>
    <xf numFmtId="164" fontId="15" fillId="0" borderId="9" applyAlignment="1" pivotButton="0" quotePrefix="0" xfId="0">
      <alignment horizontal="center" vertical="top" wrapText="1"/>
    </xf>
    <xf numFmtId="164" fontId="15" fillId="0" borderId="7" applyAlignment="1" pivotButton="0" quotePrefix="0" xfId="0">
      <alignment horizontal="center" vertical="top" wrapText="1"/>
    </xf>
    <xf numFmtId="164" fontId="21" fillId="0" borderId="13" applyAlignment="1" pivotButton="0" quotePrefix="0" xfId="0">
      <alignment horizontal="center" vertical="top" wrapText="1"/>
    </xf>
    <xf numFmtId="164" fontId="21" fillId="0" borderId="14" applyAlignment="1" pivotButton="0" quotePrefix="0" xfId="0">
      <alignment horizontal="center" vertical="top" wrapText="1"/>
    </xf>
    <xf numFmtId="164" fontId="21" fillId="0" borderId="15" applyAlignment="1" pivotButton="0" quotePrefix="0" xfId="0">
      <alignment horizontal="center" vertical="top" wrapText="1"/>
    </xf>
    <xf numFmtId="164" fontId="12" fillId="0" borderId="4" applyAlignment="1" pivotButton="0" quotePrefix="0" xfId="0">
      <alignment horizontal="center" vertical="center"/>
    </xf>
    <xf numFmtId="164" fontId="12" fillId="0" borderId="5" applyAlignment="1" pivotButton="0" quotePrefix="0" xfId="0">
      <alignment horizontal="center" vertical="center"/>
    </xf>
    <xf numFmtId="164" fontId="13" fillId="0" borderId="8" applyAlignment="1" pivotButton="0" quotePrefix="0" xfId="0">
      <alignment horizontal="center" vertical="top" wrapText="1"/>
    </xf>
    <xf numFmtId="0" fontId="10" fillId="0" borderId="9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10" pivotButton="0" quotePrefix="0" xfId="0"/>
    <xf numFmtId="0" fontId="0" fillId="0" borderId="27" pivotButton="0" quotePrefix="0" xfId="0"/>
    <xf numFmtId="0" fontId="0" fillId="0" borderId="12" pivotButton="0" quotePrefix="0" xfId="0"/>
    <xf numFmtId="164" fontId="12" fillId="0" borderId="20" applyAlignment="1" pivotButton="0" quotePrefix="0" xfId="0">
      <alignment horizontal="center" vertical="center" wrapText="1"/>
    </xf>
    <xf numFmtId="164" fontId="12" fillId="0" borderId="0" applyAlignment="1" pivotButton="0" quotePrefix="0" xfId="0">
      <alignment vertical="center"/>
    </xf>
    <xf numFmtId="165" fontId="0" fillId="0" borderId="0" pivotButton="0" quotePrefix="0" xfId="0"/>
    <xf numFmtId="166" fontId="27" fillId="2" borderId="22" pivotButton="0" quotePrefix="0" xfId="2"/>
    <xf numFmtId="166" fontId="27" fillId="0" borderId="22" pivotButton="0" quotePrefix="0" xfId="2"/>
    <xf numFmtId="164" fontId="12" fillId="0" borderId="6" applyAlignment="1" pivotButton="0" quotePrefix="0" xfId="0">
      <alignment vertical="center" wrapText="1"/>
    </xf>
    <xf numFmtId="164" fontId="12" fillId="0" borderId="6" applyAlignment="1" pivotButton="0" quotePrefix="0" xfId="0">
      <alignment horizontal="center" vertical="center" wrapText="1"/>
    </xf>
    <xf numFmtId="164" fontId="12" fillId="0" borderId="6" applyAlignment="1" pivotButton="0" quotePrefix="0" xfId="0">
      <alignment horizontal="center" vertical="center"/>
    </xf>
    <xf numFmtId="164" fontId="13" fillId="0" borderId="24" applyAlignment="1" pivotButton="0" quotePrefix="0" xfId="0">
      <alignment horizontal="center" vertical="top" wrapText="1"/>
    </xf>
    <xf numFmtId="0" fontId="0" fillId="0" borderId="9" pivotButton="0" quotePrefix="0" xfId="0"/>
    <xf numFmtId="0" fontId="0" fillId="0" borderId="7" pivotButton="0" quotePrefix="0" xfId="0"/>
    <xf numFmtId="0" fontId="12" fillId="0" borderId="23" applyAlignment="1" pivotButton="0" quotePrefix="0" xfId="0">
      <alignment horizontal="right" vertical="center"/>
    </xf>
    <xf numFmtId="0" fontId="0" fillId="0" borderId="14" pivotButton="0" quotePrefix="0" xfId="0"/>
    <xf numFmtId="0" fontId="0" fillId="0" borderId="15" pivotButton="0" quotePrefix="0" xfId="0"/>
    <xf numFmtId="164" fontId="15" fillId="0" borderId="23" applyAlignment="1" pivotButton="0" quotePrefix="0" xfId="0">
      <alignment horizontal="center" vertical="top" wrapText="1"/>
    </xf>
    <xf numFmtId="164" fontId="21" fillId="0" borderId="23" applyAlignment="1" pivotButton="0" quotePrefix="0" xfId="0">
      <alignment horizontal="center" vertical="top" wrapText="1"/>
    </xf>
  </cellXfs>
  <cellStyles count="3">
    <cellStyle name="一般" xfId="0" builtinId="0"/>
    <cellStyle name="超連結" xfId="1" builtinId="8"/>
    <cellStyle name="貨幣" xfId="2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png" Id="rId3"/></Relationships>
</file>

<file path=xl/drawings/_rels/drawing2.xml.rels><Relationships xmlns="http://schemas.openxmlformats.org/package/2006/relationships"><Relationship Type="http://schemas.openxmlformats.org/officeDocument/2006/relationships/image" Target="/xl/media/image4.jpeg" Id="rId1"/></Relationships>
</file>

<file path=xl/drawings/drawing1.xml><?xml version="1.0" encoding="utf-8"?>
<wsDr xmlns="http://schemas.openxmlformats.org/drawingml/2006/spreadsheetDrawing">
  <twoCellAnchor>
    <from>
      <col>0</col>
      <colOff>56983</colOff>
      <row>0</row>
      <rowOff>38480</rowOff>
    </from>
    <to>
      <col>0</col>
      <colOff>457201</colOff>
      <row>2</row>
      <rowOff>38100</rowOff>
    </to>
    <pic>
      <nvPicPr>
        <cNvPr id="7" name="圖片 6" descr="mark-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6983" y="38480"/>
          <a:ext cx="400218" cy="44729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0</col>
      <colOff>552451</colOff>
      <row>0</row>
      <rowOff>36964</rowOff>
    </from>
    <to>
      <col>2</col>
      <colOff>179916</colOff>
      <row>3</row>
      <rowOff>38100</rowOff>
    </to>
    <pic>
      <nvPicPr>
        <cNvPr id="8" name="圖片 7" descr="word mark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2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552451" y="36964"/>
          <a:ext cx="1426632" cy="667886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  <twoCellAnchor>
    <from>
      <col>7</col>
      <colOff>107047</colOff>
      <row>14</row>
      <rowOff>11906</rowOff>
    </from>
    <to>
      <col>9</col>
      <colOff>524509</colOff>
      <row>22</row>
      <rowOff>11905</rowOff>
    </to>
    <pic>
      <nvPicPr>
        <cNvPr id="47" name="圖片 46" descr="BX-30SB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3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6179235" y="3131344"/>
          <a:ext cx="1881930" cy="1809749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noFill/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314325</colOff>
      <row>2</row>
      <rowOff>19050</rowOff>
    </from>
    <to>
      <col>8</col>
      <colOff>57381</colOff>
      <row>18</row>
      <rowOff>90386</rowOff>
    </to>
    <pic>
      <nvPicPr>
        <cNvPr id="2" name="圖片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314325" y="419100"/>
          <a:ext cx="5229456" cy="3271736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tabSelected="1" topLeftCell="A13" zoomScale="80" zoomScaleNormal="80" zoomScaleSheetLayoutView="70" zoomScalePageLayoutView="59" workbookViewId="0">
      <selection activeCell="M10" sqref="M10"/>
    </sheetView>
  </sheetViews>
  <sheetFormatPr baseColWidth="8" defaultRowHeight="16.2"/>
  <cols>
    <col width="11" customWidth="1" style="65" min="1" max="1"/>
    <col width="15" customWidth="1" style="65" min="2" max="2"/>
    <col width="6.44140625" customWidth="1" style="65" min="3" max="3"/>
    <col width="10.109375" customWidth="1" style="65" min="4" max="4"/>
    <col width="20.77734375" customWidth="1" style="65" min="5" max="5"/>
    <col width="5.44140625" customWidth="1" style="65" min="6" max="6"/>
    <col width="10.77734375" customWidth="1" style="65" min="7" max="7"/>
    <col width="14.44140625" customWidth="1" style="65" min="8" max="8"/>
    <col width="4.77734375" customWidth="1" style="65" min="9" max="9"/>
    <col width="11.6640625" customWidth="1" style="65" min="10" max="10"/>
    <col width="12.77734375" customWidth="1" style="65" min="11" max="15"/>
  </cols>
  <sheetData>
    <row r="1" ht="19.8" customHeight="1" s="65">
      <c r="A1" s="1" t="inlineStr">
        <is>
          <t xml:space="preserve">                             </t>
        </is>
      </c>
    </row>
    <row r="2">
      <c r="A2" s="2" t="n"/>
    </row>
    <row r="3">
      <c r="A3" s="2" t="n"/>
    </row>
    <row r="4" ht="12.75" customHeight="1" s="65">
      <c r="A4" s="2" t="n"/>
    </row>
    <row r="5">
      <c r="A5" s="44" t="inlineStr">
        <is>
          <t xml:space="preserve">台中市北屯區景南巷1-1號                                                                                        </t>
        </is>
      </c>
      <c r="B5" s="45" t="n"/>
      <c r="C5" s="45" t="n"/>
      <c r="D5" s="45" t="n"/>
      <c r="E5" s="45" t="n"/>
      <c r="F5" s="45" t="n"/>
      <c r="G5" s="45" t="n"/>
      <c r="H5" s="10" t="inlineStr">
        <is>
          <t>TEL：+886-4-2435-0381</t>
        </is>
      </c>
      <c r="I5" s="45" t="n"/>
      <c r="J5" s="45" t="n"/>
      <c r="K5" s="10" t="n"/>
    </row>
    <row r="6">
      <c r="A6" s="46" t="inlineStr">
        <is>
          <t>No. 1-1, Jingnan Ln., Beitun Dist., Taichung City406,Taiwan</t>
        </is>
      </c>
      <c r="B6" s="47" t="n"/>
      <c r="C6" s="47" t="n"/>
      <c r="D6" s="47" t="n"/>
      <c r="E6" s="47" t="n"/>
      <c r="F6" s="47" t="n"/>
      <c r="G6" s="47" t="n"/>
      <c r="H6" s="10" t="inlineStr">
        <is>
          <t>FAX：+886-4-2327-5352</t>
        </is>
      </c>
      <c r="I6" s="47" t="n"/>
      <c r="J6" s="47" t="n"/>
      <c r="K6" s="10" t="n"/>
    </row>
    <row r="7" ht="21.6" customHeight="1" s="65">
      <c r="A7" s="73" t="inlineStr">
        <is>
          <t>報 價 單</t>
        </is>
      </c>
      <c r="K7" s="10" t="n"/>
    </row>
    <row r="8" ht="18" customHeight="1" s="65" thickBot="1">
      <c r="A8" s="30" t="inlineStr">
        <is>
          <t xml:space="preserve">報價單號 ：    </t>
        </is>
      </c>
      <c r="B8" s="30" t="inlineStr">
        <is>
          <t>K1140522001</t>
        </is>
      </c>
      <c r="C8" s="10" t="n"/>
      <c r="D8" s="10" t="inlineStr">
        <is>
          <t xml:space="preserve">報價日期：   </t>
        </is>
      </c>
      <c r="E8" s="34" t="inlineStr">
        <is>
          <t>2026/05/22</t>
        </is>
      </c>
      <c r="F8" s="10" t="n"/>
      <c r="G8" s="30" t="inlineStr">
        <is>
          <t xml:space="preserve"> 幣        別：</t>
        </is>
      </c>
      <c r="H8" s="10" t="inlineStr">
        <is>
          <t xml:space="preserve">TWD       </t>
        </is>
      </c>
      <c r="I8" s="35" t="n"/>
      <c r="J8" s="10" t="n"/>
      <c r="K8" s="10" t="n"/>
    </row>
    <row r="9" ht="18" customHeight="1" s="65" thickTop="1">
      <c r="A9" s="36" t="inlineStr">
        <is>
          <t>客戶全名 ：</t>
        </is>
      </c>
      <c r="B9" s="81" t="inlineStr">
        <is>
          <t>亞泰實業有限公司</t>
        </is>
      </c>
      <c r="C9" s="96" t="n"/>
      <c r="D9" s="96" t="n"/>
      <c r="E9" s="32" t="n"/>
      <c r="F9" s="32" t="n"/>
      <c r="G9" s="32" t="inlineStr">
        <is>
          <t xml:space="preserve"> 有效日期：</t>
        </is>
      </c>
      <c r="H9" s="37" t="inlineStr">
        <is>
          <t>2026/06/06</t>
        </is>
      </c>
      <c r="I9" s="32" t="n"/>
      <c r="J9" s="38" t="n"/>
      <c r="K9" s="10" t="n"/>
    </row>
    <row r="10" ht="18" customHeight="1" s="65">
      <c r="A10" s="39" t="inlineStr">
        <is>
          <t>電       話：</t>
        </is>
      </c>
      <c r="B10" s="80" t="inlineStr">
        <is>
          <t>0963-233-607</t>
        </is>
      </c>
      <c r="G10" s="10" t="inlineStr">
        <is>
          <t xml:space="preserve"> 傳      真 ：</t>
        </is>
      </c>
      <c r="H10" s="79" t="inlineStr">
        <is>
          <t>04-823-7535</t>
        </is>
      </c>
      <c r="J10" s="97" t="n"/>
      <c r="K10" s="10" t="n"/>
    </row>
    <row r="11" ht="18" customHeight="1" s="65">
      <c r="A11" s="39" t="inlineStr">
        <is>
          <t>聯 絡 人  ：</t>
        </is>
      </c>
      <c r="B11" s="33" t="inlineStr">
        <is>
          <t>黃瑞典先生</t>
        </is>
      </c>
      <c r="C11" s="10" t="n"/>
      <c r="D11" s="10" t="n"/>
      <c r="E11" s="10" t="n"/>
      <c r="F11" s="10" t="n"/>
      <c r="G11" s="10" t="inlineStr">
        <is>
          <t xml:space="preserve"> 統一編號：</t>
        </is>
      </c>
      <c r="H11" s="30" t="inlineStr">
        <is>
          <t>22583275</t>
        </is>
      </c>
      <c r="I11" s="10" t="n"/>
      <c r="J11" s="16" t="n"/>
      <c r="K11" s="10" t="n"/>
    </row>
    <row r="12" ht="18" customHeight="1" s="65" thickBot="1">
      <c r="A12" s="40" t="inlineStr">
        <is>
          <t>聯絡地址 ：</t>
        </is>
      </c>
      <c r="B12" s="77" t="inlineStr">
        <is>
          <t>彰化縣永靖鄉永興路一段103巷50號</t>
        </is>
      </c>
      <c r="C12" s="98" t="n"/>
      <c r="D12" s="98" t="n"/>
      <c r="E12" s="98" t="n"/>
      <c r="F12" s="98" t="n"/>
      <c r="G12" s="41" t="inlineStr">
        <is>
          <t xml:space="preserve"> E-MAIL   :</t>
        </is>
      </c>
      <c r="H12" s="9" t="inlineStr">
        <is>
          <t>n662n@yahoo.com.tw</t>
        </is>
      </c>
      <c r="I12" s="41" t="n"/>
      <c r="J12" s="42" t="n"/>
      <c r="K12" s="10" t="n"/>
    </row>
    <row r="13" ht="18" customHeight="1" s="65" thickBot="1">
      <c r="A13" s="75" t="inlineStr">
        <is>
          <t>序</t>
        </is>
      </c>
      <c r="B13" s="75" t="inlineStr">
        <is>
          <t>品號</t>
        </is>
      </c>
      <c r="C13" s="74" t="inlineStr">
        <is>
          <t>品名 / 規格</t>
        </is>
      </c>
      <c r="D13" s="99" t="n"/>
      <c r="E13" s="100" t="n"/>
      <c r="F13" s="75" t="inlineStr">
        <is>
          <t>數量</t>
        </is>
      </c>
      <c r="G13" s="75" t="inlineStr">
        <is>
          <t>單位</t>
        </is>
      </c>
      <c r="H13" s="75" t="inlineStr">
        <is>
          <t>單  價</t>
        </is>
      </c>
      <c r="I13" s="75" t="inlineStr">
        <is>
          <t>小計</t>
        </is>
      </c>
      <c r="J13" s="100" t="n"/>
      <c r="K13" s="10" t="n"/>
    </row>
    <row r="14" ht="18" customHeight="1" s="65" thickTop="1">
      <c r="A14" s="17" t="n">
        <v>1</v>
      </c>
      <c r="B14" s="59" t="inlineStr">
        <is>
          <t>AP-30SB</t>
        </is>
      </c>
      <c r="C14" s="10" t="inlineStr">
        <is>
          <t>AP-30SB電動油壓升降台車(雙叉式)</t>
        </is>
      </c>
      <c r="D14" s="43" t="n"/>
      <c r="E14" s="43" t="n"/>
      <c r="F14" s="18" t="n">
        <v>1</v>
      </c>
      <c r="G14" s="18" t="inlineStr">
        <is>
          <t>台</t>
        </is>
      </c>
      <c r="H14" s="101" t="n">
        <v>44000</v>
      </c>
      <c r="I14" s="72">
        <f>F14*H14</f>
        <v/>
      </c>
      <c r="J14" s="97" t="n"/>
    </row>
    <row r="15" ht="18" customHeight="1" s="65">
      <c r="A15" s="20" t="n"/>
      <c r="B15" s="13" t="n"/>
      <c r="C15" s="10" t="inlineStr">
        <is>
          <t>載重： 300KG</t>
        </is>
      </c>
      <c r="D15" s="10" t="n"/>
      <c r="E15" s="10" t="n"/>
      <c r="F15" s="15" t="n"/>
      <c r="G15" s="15" t="n"/>
      <c r="H15" s="27" t="n"/>
      <c r="I15" s="102" t="n"/>
      <c r="J15" s="22" t="n"/>
      <c r="K15" s="63" t="inlineStr">
        <is>
          <t>1010X520mm 蓋白鐵面板加NT$3,500</t>
        </is>
      </c>
    </row>
    <row r="16" ht="18" customHeight="1" s="65">
      <c r="A16" s="20" t="n"/>
      <c r="B16" s="58" t="n"/>
      <c r="C16" s="10" t="inlineStr">
        <is>
          <t>面板尺寸：1010x520mm</t>
        </is>
      </c>
      <c r="D16" s="10" t="n"/>
      <c r="E16" s="10" t="n"/>
      <c r="F16" s="15" t="n"/>
      <c r="G16" s="15" t="n"/>
      <c r="H16" s="27" t="n"/>
      <c r="I16" s="102" t="n"/>
      <c r="J16" s="22" t="n"/>
      <c r="K16" s="63" t="inlineStr">
        <is>
          <t>裝60顆萬向滾珠,含四面活動式擋板NT$8,000</t>
        </is>
      </c>
    </row>
    <row r="17" ht="18" customHeight="1" s="65">
      <c r="A17" s="20" t="n"/>
      <c r="B17" s="13" t="n"/>
      <c r="C17" s="10" t="inlineStr">
        <is>
          <t>最高高度：1610mm</t>
        </is>
      </c>
      <c r="D17" s="10" t="n"/>
      <c r="E17" s="10" t="n"/>
      <c r="F17" s="15" t="n"/>
      <c r="G17" s="15" t="n"/>
      <c r="H17" s="27" t="n"/>
      <c r="I17" s="102" t="n"/>
      <c r="J17" s="22" t="n"/>
      <c r="K17" s="63" t="inlineStr">
        <is>
          <t>護套 NT$13000</t>
        </is>
      </c>
    </row>
    <row r="18" ht="18" customHeight="1" s="65">
      <c r="A18" s="20" t="n"/>
      <c r="B18" s="13" t="n"/>
      <c r="C18" s="10" t="inlineStr">
        <is>
          <t xml:space="preserve">最低高度： 431mm  </t>
        </is>
      </c>
      <c r="D18" s="10" t="n"/>
      <c r="E18" s="10" t="n"/>
      <c r="F18" s="15" t="n"/>
      <c r="G18" s="15" t="n"/>
      <c r="H18" s="27" t="n"/>
      <c r="I18" s="102" t="n"/>
      <c r="J18" s="22" t="n"/>
      <c r="K18" s="63" t="inlineStr">
        <is>
          <t>滾筒輸送帶CV500-F $ 10500</t>
        </is>
      </c>
    </row>
    <row r="19" ht="18" customHeight="1" s="65">
      <c r="A19" s="20" t="n"/>
      <c r="B19" s="13" t="n"/>
      <c r="C19" s="10" t="inlineStr">
        <is>
          <t>機台尺寸:1270x520x950 mm</t>
        </is>
      </c>
      <c r="D19" s="10" t="n"/>
      <c r="E19" s="10" t="n"/>
      <c r="F19" s="15" t="n"/>
      <c r="G19" s="15" t="n"/>
      <c r="H19" s="27" t="n"/>
      <c r="I19" s="102" t="n"/>
      <c r="J19" s="22" t="n"/>
      <c r="K19" t="inlineStr">
        <is>
          <t>3月建議售價</t>
        </is>
      </c>
      <c r="L19" s="66" t="inlineStr">
        <is>
          <t>經銷中間價</t>
        </is>
      </c>
      <c r="M19" s="67" t="inlineStr">
        <is>
          <t>經銷價</t>
        </is>
      </c>
      <c r="N19" s="0" t="inlineStr">
        <is>
          <t>舊建議售價</t>
        </is>
      </c>
      <c r="O19" s="0" t="inlineStr">
        <is>
          <t>舊經銷價</t>
        </is>
      </c>
    </row>
    <row r="20" ht="18" customHeight="1" s="65">
      <c r="A20" s="20" t="n"/>
      <c r="B20" s="58" t="n"/>
      <c r="C20" s="10" t="inlineStr">
        <is>
          <t>粉體塗裝</t>
        </is>
      </c>
      <c r="D20" s="10" t="n"/>
      <c r="E20" s="10" t="n"/>
      <c r="F20" s="15" t="n"/>
      <c r="G20" s="15" t="n"/>
      <c r="H20" s="14" t="n"/>
      <c r="I20" s="102" t="n"/>
      <c r="J20" s="22" t="n"/>
      <c r="K20" s="103" t="n">
        <v>44000</v>
      </c>
      <c r="L20" s="103">
        <f>SUM(K20+M20)/2</f>
        <v/>
      </c>
      <c r="M20" s="103" t="n">
        <v>39000</v>
      </c>
      <c r="N20" s="104" t="n">
        <v>41000</v>
      </c>
      <c r="O20" s="105" t="n">
        <v>36320</v>
      </c>
    </row>
    <row r="21" ht="18" customHeight="1" s="65">
      <c r="A21" s="20" t="n"/>
      <c r="B21" s="58" t="n"/>
      <c r="C21" s="10" t="inlineStr">
        <is>
          <t>顏色：標準Accuplus藍(機身)+白(把手)</t>
        </is>
      </c>
      <c r="D21" s="10" t="n"/>
      <c r="E21" s="10" t="n"/>
      <c r="F21" s="15" t="n"/>
      <c r="G21" s="15" t="n"/>
      <c r="H21" s="14" t="n"/>
      <c r="I21" s="102" t="n"/>
      <c r="J21" s="22" t="n"/>
    </row>
    <row r="22" ht="18" customHeight="1" s="65">
      <c r="A22" s="20" t="n"/>
      <c r="B22" s="58" t="n"/>
      <c r="C22" s="10" t="inlineStr">
        <is>
          <t>採用日本阪上油封</t>
        </is>
      </c>
      <c r="D22" s="10" t="n"/>
      <c r="E22" s="10" t="n"/>
      <c r="F22" s="15" t="n"/>
      <c r="G22" s="15" t="n"/>
      <c r="H22" s="14" t="n"/>
      <c r="I22" s="102" t="n"/>
      <c r="J22" s="22" t="n"/>
      <c r="K22" s="10" t="n"/>
      <c r="L22" s="11" t="n"/>
      <c r="M22" s="10" t="n"/>
      <c r="N22" s="31" t="n"/>
    </row>
    <row r="23" ht="18" customHeight="1" s="65">
      <c r="A23" s="20" t="n"/>
      <c r="B23" s="58" t="n"/>
      <c r="C23" s="10" t="inlineStr">
        <is>
          <t>附安全過載保護裝置</t>
        </is>
      </c>
      <c r="D23" s="10" t="n"/>
      <c r="E23" s="10" t="n"/>
      <c r="F23" s="15" t="n"/>
      <c r="G23" s="15" t="n"/>
      <c r="H23" s="14" t="n"/>
      <c r="I23" s="102" t="n"/>
      <c r="J23" s="22" t="n"/>
      <c r="K23" s="10" t="n"/>
      <c r="L23" s="11" t="n"/>
      <c r="M23" s="10" t="n"/>
      <c r="N23" s="31" t="n"/>
      <c r="O23" s="62" t="n"/>
    </row>
    <row r="24" ht="18" customHeight="1" s="65">
      <c r="A24" s="20" t="n"/>
      <c r="B24" s="58" t="n"/>
      <c r="C24" s="10" t="inlineStr">
        <is>
          <t>附安全防爆閥裝置</t>
        </is>
      </c>
      <c r="D24" s="10" t="n"/>
      <c r="E24" s="10" t="n"/>
      <c r="F24" s="15" t="n"/>
      <c r="G24" s="15" t="n"/>
      <c r="H24" s="14" t="n"/>
      <c r="I24" s="102" t="n"/>
      <c r="J24" s="22" t="n"/>
      <c r="K24" s="10" t="n"/>
      <c r="L24" s="11" t="n"/>
      <c r="M24" s="10" t="n"/>
      <c r="N24" s="31" t="n"/>
      <c r="O24" s="10" t="n"/>
    </row>
    <row r="25" ht="18" customHeight="1" s="65">
      <c r="A25" s="20" t="n"/>
      <c r="B25" s="58" t="n"/>
      <c r="C25" s="10" t="inlineStr">
        <is>
          <t>附節流閥可控制降速</t>
        </is>
      </c>
      <c r="D25" s="10" t="n"/>
      <c r="E25" s="10" t="n"/>
      <c r="F25" s="15" t="n"/>
      <c r="G25" s="15" t="n"/>
      <c r="H25" s="14" t="n"/>
      <c r="I25" s="102" t="n"/>
      <c r="J25" s="22" t="n"/>
      <c r="K25" s="10" t="n"/>
      <c r="L25" s="11" t="n"/>
      <c r="M25" s="10" t="n"/>
      <c r="N25" s="31" t="n"/>
      <c r="O25" s="10" t="n"/>
    </row>
    <row r="26" ht="18" customHeight="1" s="65">
      <c r="A26" s="20" t="n"/>
      <c r="B26" s="58" t="n"/>
      <c r="C26" s="10" t="inlineStr">
        <is>
          <t>附活動煞車輪</t>
        </is>
      </c>
      <c r="D26" s="10" t="n"/>
      <c r="E26" s="10" t="n"/>
      <c r="F26" s="15" t="n"/>
      <c r="G26" s="15" t="n"/>
      <c r="H26" s="14" t="n"/>
      <c r="I26" s="102" t="n"/>
      <c r="J26" s="22" t="n"/>
      <c r="K26" s="10" t="n"/>
      <c r="L26" s="11" t="n"/>
      <c r="M26" s="10" t="n"/>
      <c r="N26" s="31" t="n"/>
      <c r="O26" s="10" t="n"/>
    </row>
    <row r="27" ht="18" customHeight="1" s="65">
      <c r="A27" s="15" t="n"/>
      <c r="B27" s="14" t="n"/>
      <c r="E27" s="16" t="n"/>
      <c r="F27" s="14" t="n"/>
      <c r="G27" s="14" t="n"/>
      <c r="H27" s="106" t="n"/>
      <c r="I27" s="102" t="n"/>
      <c r="J27" s="16" t="n"/>
      <c r="K27" s="10" t="n"/>
      <c r="L27" s="11" t="n"/>
      <c r="M27" s="10" t="n"/>
      <c r="N27" s="31" t="n"/>
      <c r="O27" s="10" t="n"/>
    </row>
    <row r="28" ht="18" customHeight="1" s="65">
      <c r="A28" s="15" t="n"/>
      <c r="B28" s="14" t="n"/>
      <c r="C28" s="10" t="n"/>
      <c r="D28" s="10" t="n"/>
      <c r="E28" s="16" t="n"/>
      <c r="F28" s="14" t="n"/>
      <c r="G28" s="14" t="n"/>
      <c r="H28" s="106" t="n"/>
      <c r="I28" s="102" t="n"/>
      <c r="J28" s="16" t="n"/>
      <c r="K28" s="10" t="n"/>
      <c r="L28" s="11" t="n"/>
      <c r="M28" s="10" t="n"/>
      <c r="N28" s="31" t="n"/>
      <c r="O28" s="10" t="n"/>
      <c r="P28" s="10" t="n"/>
    </row>
    <row r="29" ht="18" customHeight="1" s="65">
      <c r="A29" s="15" t="n"/>
      <c r="B29" s="15" t="inlineStr">
        <is>
          <t>N/A</t>
        </is>
      </c>
      <c r="C29" s="12" t="inlineStr">
        <is>
          <t>一次性運費</t>
        </is>
      </c>
      <c r="D29" s="10" t="n"/>
      <c r="E29" s="16" t="n"/>
      <c r="F29" s="107" t="n">
        <v>1</v>
      </c>
      <c r="G29" s="15" t="inlineStr">
        <is>
          <t>趟</t>
        </is>
      </c>
      <c r="H29" s="107" t="n">
        <v>1500</v>
      </c>
      <c r="I29" s="108">
        <f>F29*H29</f>
        <v/>
      </c>
      <c r="J29" s="97" t="n"/>
      <c r="K29" s="10" t="n"/>
      <c r="L29" s="11" t="n"/>
      <c r="M29" s="10" t="n"/>
      <c r="N29" s="31" t="n"/>
      <c r="O29" s="10" t="n"/>
      <c r="P29" s="10" t="n"/>
    </row>
    <row r="30" ht="18" customHeight="1" s="65" thickBot="1">
      <c r="A30" s="15" t="n"/>
      <c r="B30" s="14" t="n"/>
      <c r="C30" s="10" t="n"/>
      <c r="D30" s="11" t="n"/>
      <c r="E30" s="25" t="n"/>
      <c r="F30" s="15" t="n"/>
      <c r="G30" s="15" t="n"/>
      <c r="H30" s="109" t="inlineStr">
        <is>
          <t>(配合我司車趟享免運優惠)</t>
        </is>
      </c>
      <c r="I30" s="110" t="n"/>
      <c r="J30" s="111" t="n"/>
      <c r="K30" s="10" t="n"/>
      <c r="L30" s="11" t="n"/>
      <c r="M30" s="10" t="n"/>
      <c r="N30" s="31" t="n"/>
      <c r="O30" s="10" t="n"/>
      <c r="P30" s="10" t="n"/>
    </row>
    <row r="31" ht="18" customHeight="1" s="65" thickBot="1" thickTop="1">
      <c r="A31" s="112" t="inlineStr">
        <is>
          <t>營業稅</t>
        </is>
      </c>
      <c r="B31" s="113" t="n"/>
      <c r="C31" s="113" t="n"/>
      <c r="D31" s="113" t="n"/>
      <c r="E31" s="113" t="n"/>
      <c r="F31" s="113" t="n"/>
      <c r="G31" s="114" t="n"/>
      <c r="H31" s="115">
        <f>SUM(I14:J29)*0.05</f>
        <v/>
      </c>
      <c r="I31" s="113" t="n"/>
      <c r="J31" s="114" t="n"/>
      <c r="K31" s="10" t="n"/>
      <c r="L31" s="11" t="n"/>
      <c r="M31" s="10" t="n"/>
      <c r="N31" s="31" t="n"/>
      <c r="O31" s="10" t="n"/>
      <c r="P31" s="10" t="n"/>
    </row>
    <row r="32" ht="18" customHeight="1" s="65" thickBot="1" thickTop="1">
      <c r="A32" s="112" t="inlineStr">
        <is>
          <t>應收總金額</t>
        </is>
      </c>
      <c r="B32" s="113" t="n"/>
      <c r="C32" s="113" t="n"/>
      <c r="D32" s="113" t="n"/>
      <c r="E32" s="113" t="n"/>
      <c r="F32" s="113" t="n"/>
      <c r="G32" s="114" t="n"/>
      <c r="H32" s="116">
        <f>SUM(I14:J29)*1.05</f>
        <v/>
      </c>
      <c r="I32" s="113" t="n"/>
      <c r="J32" s="114" t="n"/>
      <c r="K32" s="10" t="n"/>
      <c r="L32" s="11" t="n"/>
      <c r="M32" s="10" t="n"/>
      <c r="N32" s="31" t="n"/>
      <c r="O32" s="10" t="n"/>
      <c r="P32" s="10" t="n"/>
    </row>
    <row r="33" ht="18" customHeight="1" s="65" thickTop="1">
      <c r="A33" s="49" t="inlineStr">
        <is>
          <t>備註:</t>
        </is>
      </c>
      <c r="B33" s="10" t="inlineStr">
        <is>
          <t>1.以上皆免費保固一年(非人為損壞及耗材)</t>
        </is>
      </c>
      <c r="C33" s="10" t="n"/>
      <c r="D33" s="10" t="n"/>
      <c r="E33" s="32" t="n"/>
      <c r="F33" s="32" t="n"/>
      <c r="G33" s="32" t="n"/>
      <c r="H33" s="32" t="n"/>
      <c r="I33" s="32" t="n"/>
      <c r="J33" s="38" t="n"/>
      <c r="K33" s="10" t="n"/>
      <c r="L33" s="11" t="n"/>
      <c r="M33" s="10" t="n"/>
      <c r="N33" s="31" t="n"/>
      <c r="O33" s="10" t="n"/>
      <c r="P33" s="10" t="n"/>
    </row>
    <row r="34" ht="18" customHeight="1" s="65">
      <c r="A34" s="49" t="n"/>
      <c r="B34" s="10" t="inlineStr">
        <is>
          <t>2.確定訂單內容後請簽章並回傳</t>
        </is>
      </c>
      <c r="C34" s="10" t="n"/>
      <c r="D34" s="10" t="n"/>
      <c r="E34" s="10" t="n"/>
      <c r="F34" s="10" t="n"/>
      <c r="G34" s="10" t="n"/>
      <c r="H34" s="52" t="inlineStr">
        <is>
          <t>訂購請簽章回傳</t>
        </is>
      </c>
      <c r="I34" s="10" t="n"/>
      <c r="J34" s="16" t="n"/>
      <c r="K34" s="10" t="n"/>
      <c r="L34" s="11" t="n"/>
      <c r="M34" s="10" t="n"/>
      <c r="N34" s="31" t="n"/>
      <c r="O34" s="10" t="n"/>
      <c r="P34" s="10" t="n"/>
    </row>
    <row r="35" ht="18" customHeight="1" s="65">
      <c r="A35" s="50" t="n"/>
      <c r="B35" s="10" t="inlineStr">
        <is>
          <t>3.以上交易價格含營業稅</t>
        </is>
      </c>
      <c r="C35" s="10" t="n"/>
      <c r="D35" s="10" t="n"/>
      <c r="E35" s="10" t="n"/>
      <c r="F35" s="51" t="n"/>
      <c r="G35" s="51" t="n"/>
      <c r="H35" s="52" t="n"/>
      <c r="I35" s="10" t="n"/>
      <c r="J35" s="16" t="n"/>
      <c r="K35" s="10" t="n"/>
      <c r="N35" s="28" t="n"/>
      <c r="O35" s="10" t="n"/>
    </row>
    <row r="36" ht="18" customHeight="1" s="65">
      <c r="A36" s="50" t="n"/>
      <c r="B36" s="10" t="inlineStr">
        <is>
          <t>4.付款方式：請匯款至</t>
        </is>
      </c>
      <c r="C36" s="51" t="n"/>
      <c r="D36" s="51" t="n"/>
      <c r="E36" s="10" t="n"/>
      <c r="F36" s="10" t="n"/>
      <c r="G36" s="10" t="n"/>
      <c r="H36" s="10" t="n"/>
      <c r="I36" s="10" t="n"/>
      <c r="J36" s="16" t="n"/>
      <c r="K36" s="10" t="n"/>
      <c r="N36" s="28" t="n"/>
      <c r="O36" s="10" t="n"/>
    </row>
    <row r="37" ht="18" customHeight="1" s="65">
      <c r="A37" s="50" t="n"/>
      <c r="B37" s="35" t="inlineStr">
        <is>
          <t>戶        名：</t>
        </is>
      </c>
      <c r="C37" s="10" t="inlineStr">
        <is>
          <t>立善科技有限公司</t>
        </is>
      </c>
      <c r="D37" s="10" t="n"/>
      <c r="E37" s="10" t="n"/>
      <c r="F37" s="10" t="n"/>
      <c r="G37" s="10" t="n"/>
      <c r="H37" s="10" t="n"/>
      <c r="I37" s="10" t="n"/>
      <c r="J37" s="16" t="n"/>
      <c r="K37" s="10" t="n"/>
      <c r="N37" s="28" t="n"/>
      <c r="O37" s="10" t="n"/>
    </row>
    <row r="38" ht="18" customHeight="1" s="65">
      <c r="A38" s="50" t="n"/>
      <c r="B38" s="35" t="inlineStr">
        <is>
          <t>銀        行：</t>
        </is>
      </c>
      <c r="C38" s="10" t="inlineStr">
        <is>
          <t>「華南銀行 台中港路分行」</t>
        </is>
      </c>
      <c r="D38" s="10" t="n"/>
      <c r="E38" s="54" t="n"/>
      <c r="F38" s="10" t="n"/>
      <c r="G38" s="10" t="n"/>
      <c r="H38" s="10" t="n"/>
      <c r="I38" s="10" t="n"/>
      <c r="J38" s="16" t="n"/>
      <c r="K38" s="10" t="n"/>
      <c r="N38" s="29" t="n"/>
      <c r="O38" s="10" t="n"/>
    </row>
    <row r="39" ht="18" customHeight="1" s="65">
      <c r="A39" s="50" t="n"/>
      <c r="B39" s="35" t="inlineStr">
        <is>
          <t>銀行代碼：</t>
        </is>
      </c>
      <c r="C39" s="33" t="inlineStr">
        <is>
          <t>008</t>
        </is>
      </c>
      <c r="D39" s="64" t="n"/>
      <c r="E39" s="54" t="n"/>
      <c r="F39" s="10" t="n"/>
      <c r="G39" s="10" t="n"/>
      <c r="H39" s="10" t="n"/>
      <c r="I39" s="10" t="n"/>
      <c r="J39" s="16" t="n"/>
      <c r="K39" s="10" t="n"/>
      <c r="N39" s="29" t="n"/>
      <c r="O39" s="10" t="n"/>
    </row>
    <row r="40" ht="18" customHeight="1" s="65">
      <c r="A40" s="50" t="n"/>
      <c r="B40" s="53" t="inlineStr">
        <is>
          <t>帳        號：</t>
        </is>
      </c>
      <c r="C40" s="54" t="inlineStr">
        <is>
          <t>424-10-004051-9</t>
        </is>
      </c>
      <c r="D40" s="10" t="n"/>
      <c r="E40" s="54" t="n"/>
      <c r="F40" s="10" t="n"/>
      <c r="G40" s="10" t="n"/>
      <c r="H40" s="10" t="n"/>
      <c r="I40" s="10" t="n"/>
      <c r="J40" s="16" t="n"/>
      <c r="K40" s="10" t="n"/>
      <c r="N40" s="29" t="n"/>
      <c r="O40" s="10" t="n"/>
    </row>
    <row r="41" ht="18" customHeight="1" s="65">
      <c r="A41" s="50" t="n"/>
      <c r="B41" s="53" t="n"/>
      <c r="C41" s="54" t="n"/>
      <c r="D41" s="10" t="n"/>
      <c r="E41" s="54" t="n"/>
      <c r="F41" s="10" t="n"/>
      <c r="G41" s="10" t="n"/>
      <c r="H41" s="10" t="n"/>
      <c r="I41" s="10" t="n"/>
      <c r="J41" s="16" t="n"/>
      <c r="K41" s="10" t="n"/>
      <c r="N41" s="29" t="n"/>
      <c r="O41" s="10" t="n"/>
    </row>
    <row r="42" ht="18" customHeight="1" s="65" thickBot="1">
      <c r="A42" s="55" t="inlineStr">
        <is>
          <t>製表人：</t>
        </is>
      </c>
      <c r="B42" s="60" t="n"/>
      <c r="C42" s="61" t="n"/>
      <c r="D42" s="57" t="n"/>
      <c r="E42" s="56" t="n"/>
      <c r="F42" s="56" t="n"/>
      <c r="G42" s="56" t="n"/>
      <c r="H42" s="56" t="n"/>
      <c r="I42" s="56" t="n"/>
      <c r="J42" s="26" t="n"/>
      <c r="K42" s="10" t="n"/>
      <c r="N42" s="28" t="n"/>
      <c r="O42" s="10" t="n"/>
    </row>
    <row r="43" ht="18" customHeight="1" s="65" thickTop="1">
      <c r="A43" s="3" t="n"/>
      <c r="B43" s="6" t="n"/>
      <c r="C43" s="7" t="n"/>
      <c r="D43" s="8" t="n"/>
      <c r="E43" s="8" t="n"/>
      <c r="F43" s="8" t="n"/>
      <c r="G43" s="8" t="n"/>
      <c r="H43" s="8" t="n"/>
      <c r="I43" s="3" t="n"/>
      <c r="J43" s="3" t="n"/>
      <c r="K43" s="10" t="n"/>
      <c r="N43" s="10" t="n"/>
    </row>
    <row r="44" ht="18" customHeight="1" s="65">
      <c r="K44" s="10" t="n"/>
      <c r="N44" s="10" t="n"/>
    </row>
    <row r="45" ht="18" customHeight="1" s="65">
      <c r="B45" s="4" t="n"/>
      <c r="K45" s="10" t="n"/>
      <c r="N45" s="10" t="n"/>
    </row>
    <row r="46" ht="18" customHeight="1" s="65">
      <c r="B46" s="5" t="n"/>
      <c r="K46" s="10" t="n"/>
      <c r="N46" s="10" t="n"/>
    </row>
    <row r="47" ht="18" customHeight="1" s="65">
      <c r="K47" s="10" t="n"/>
      <c r="N47" s="10" t="n"/>
    </row>
    <row r="48" ht="18" customHeight="1" s="65">
      <c r="K48" s="10" t="n"/>
    </row>
    <row r="49" ht="18" customHeight="1" s="65">
      <c r="K49" s="10" t="n"/>
    </row>
    <row r="50" ht="18" customHeight="1" s="65">
      <c r="K50" s="10" t="n"/>
    </row>
    <row r="51" ht="18" customHeight="1" s="65"/>
  </sheetData>
  <mergeCells count="14">
    <mergeCell ref="A32:G32"/>
    <mergeCell ref="H32:J32"/>
    <mergeCell ref="H10:J10"/>
    <mergeCell ref="B12:F12"/>
    <mergeCell ref="I29:J29"/>
    <mergeCell ref="C13:E13"/>
    <mergeCell ref="A31:G31"/>
    <mergeCell ref="B10:F10"/>
    <mergeCell ref="H30:J30"/>
    <mergeCell ref="H31:J31"/>
    <mergeCell ref="B9:D9"/>
    <mergeCell ref="A7:J7"/>
    <mergeCell ref="I13:J13"/>
    <mergeCell ref="I14:J14"/>
  </mergeCells>
  <pageMargins left="0.3149606299212598" right="0.3149606299212598" top="0.1574803149606299" bottom="0.1574803149606299" header="0" footer="0"/>
  <pageSetup orientation="portrait" paperSize="9" scale="78" horizontalDpi="1200" verticalDpi="120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2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15" sqref="F15"/>
    </sheetView>
  </sheetViews>
  <sheetFormatPr baseColWidth="8" defaultRowHeight="16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2016-10-26T07:46:52Z</dcterms:created>
  <dcterms:modified xmlns:dcterms="http://purl.org/dc/terms/" xmlns:xsi="http://www.w3.org/2001/XMLSchema-instance" xsi:type="dcterms:W3CDTF">2026-05-22T01:19:45Z</dcterms:modified>
  <cp:lastModifiedBy>usr</cp:lastModifiedBy>
  <cp:lastPrinted>2020-03-18T07:44:01Z</cp:lastPrinted>
</cp:coreProperties>
</file>