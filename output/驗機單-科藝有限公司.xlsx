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24120" windowHeight="12900" tabRatio="600" firstSheet="0" activeTab="0" autoFilterDateGrouping="1"/>
  </bookViews>
  <sheets>
    <sheet name="工作表1" sheetId="1" state="visible" r:id="rId1"/>
    <sheet name="工作表2" sheetId="2" state="visible" r:id="rId2"/>
    <sheet name="工作表3" sheetId="3" state="visible" r:id="rId3"/>
  </sheets>
  <definedNames>
    <definedName name="_xlnm.Print_Titles" localSheetId="0">'工作表1'!$1:$14</definedName>
    <definedName name="_xlnm.Print_Area" localSheetId="0">'工作表1'!$A$1:$J$45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#,##0_);[Red]\(#,##0\)"/>
    <numFmt numFmtId="165" formatCode="#,##0_ "/>
    <numFmt numFmtId="166" formatCode="&quot;NT$&quot;#,##0_);[Red]\(&quot;NT$&quot;#,##0\)"/>
  </numFmts>
  <fonts count="18"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sz val="9"/>
      <scheme val="minor"/>
    </font>
    <font>
      <name val="新細明體"/>
      <charset val="136"/>
      <family val="2"/>
      <color theme="10"/>
      <sz val="12"/>
      <u val="single"/>
      <scheme val="minor"/>
    </font>
    <font>
      <name val="微軟正黑體"/>
      <charset val="136"/>
      <family val="2"/>
      <b val="1"/>
      <color theme="1"/>
      <sz val="14"/>
    </font>
    <font>
      <name val="微軟正黑體"/>
      <charset val="136"/>
      <family val="2"/>
      <color theme="1"/>
      <sz val="14"/>
    </font>
    <font>
      <name val="微軟正黑體"/>
      <charset val="136"/>
      <family val="2"/>
      <color theme="1"/>
      <sz val="12"/>
    </font>
    <font>
      <name val="微軟正黑體"/>
      <charset val="136"/>
      <family val="2"/>
      <color theme="1"/>
      <sz val="11"/>
    </font>
    <font>
      <name val="微軟正黑體"/>
      <charset val="136"/>
      <family val="2"/>
      <color theme="1"/>
      <sz val="10"/>
    </font>
    <font>
      <name val="微軟正黑體"/>
      <charset val="136"/>
      <family val="2"/>
      <b val="1"/>
      <color theme="1"/>
      <sz val="16"/>
    </font>
    <font>
      <name val="微軟正黑體"/>
      <charset val="136"/>
      <family val="2"/>
      <b val="1"/>
      <color theme="1"/>
      <sz val="12"/>
    </font>
    <font>
      <name val="微軟正黑體"/>
      <charset val="136"/>
      <family val="2"/>
      <b val="1"/>
      <color rgb="FFFF0000"/>
      <sz val="12"/>
    </font>
    <font>
      <name val="微軟正黑體"/>
      <charset val="136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color rgb="FFFF0000"/>
      <sz val="12"/>
    </font>
    <font>
      <name val="微軟正黑體"/>
      <charset val="136"/>
      <family val="2"/>
      <color theme="1"/>
      <sz val="8"/>
    </font>
    <font>
      <name val="微軟正黑體"/>
      <charset val="136"/>
      <family val="2"/>
      <sz val="12"/>
    </font>
    <font>
      <name val="新細明體"/>
      <charset val="136"/>
      <family val="2"/>
      <color rgb="FFFF0000"/>
      <sz val="12"/>
      <scheme val="minor"/>
    </font>
    <font/>
  </fonts>
  <fills count="2">
    <fill>
      <patternFill/>
    </fill>
    <fill>
      <patternFill patternType="gray125"/>
    </fill>
  </fills>
  <borders count="22">
    <border>
      <left/>
      <right/>
      <top/>
      <bottom/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 style="thick">
        <color indexed="64"/>
      </right>
      <top/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medium">
        <color theme="1"/>
      </right>
      <top/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medium">
        <color theme="1"/>
      </top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theme="1"/>
      </left>
      <right style="medium">
        <color auto="1"/>
      </right>
      <top/>
      <bottom/>
      <diagonal/>
    </border>
    <border/>
    <border>
      <bottom style="thin"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118"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center"/>
    </xf>
    <xf numFmtId="14" fontId="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right" vertical="center"/>
    </xf>
    <xf numFmtId="0" fontId="5" fillId="0" borderId="2" applyAlignment="1" pivotButton="0" quotePrefix="0" xfId="0">
      <alignment vertical="center"/>
    </xf>
    <xf numFmtId="0" fontId="5" fillId="0" borderId="3" applyAlignment="1" pivotButton="0" quotePrefix="0" xfId="0">
      <alignment vertical="center"/>
    </xf>
    <xf numFmtId="0" fontId="5" fillId="0" borderId="5" applyAlignment="1" pivotButton="0" quotePrefix="0" xfId="0">
      <alignment vertical="center"/>
    </xf>
    <xf numFmtId="0" fontId="5" fillId="0" borderId="6" applyAlignment="1" pivotButton="0" quotePrefix="0" xfId="0">
      <alignment horizontal="center" vertical="center"/>
    </xf>
    <xf numFmtId="164" fontId="5" fillId="0" borderId="4" applyAlignment="1" pivotButton="0" quotePrefix="0" xfId="0">
      <alignment vertical="center"/>
    </xf>
    <xf numFmtId="3" fontId="9" fillId="0" borderId="5" applyAlignment="1" pivotButton="0" quotePrefix="0" xfId="0">
      <alignment vertical="center"/>
    </xf>
    <xf numFmtId="0" fontId="5" fillId="0" borderId="6" applyAlignment="1" pivotButton="0" quotePrefix="0" xfId="0">
      <alignment vertical="center"/>
    </xf>
    <xf numFmtId="0" fontId="5" fillId="0" borderId="1" applyAlignment="1" pivotButton="0" quotePrefix="0" xfId="0">
      <alignment horizontal="right" vertical="center"/>
    </xf>
    <xf numFmtId="0" fontId="5" fillId="0" borderId="4" applyAlignment="1" pivotButton="0" quotePrefix="0" xfId="0">
      <alignment horizontal="right" vertical="center"/>
    </xf>
    <xf numFmtId="0" fontId="5" fillId="0" borderId="4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5" fillId="0" borderId="8" applyAlignment="1" pivotButton="0" quotePrefix="0" xfId="0">
      <alignment vertical="center"/>
    </xf>
    <xf numFmtId="0" fontId="5" fillId="0" borderId="9" applyAlignment="1" pivotButton="0" quotePrefix="0" xfId="0">
      <alignment vertical="center"/>
    </xf>
    <xf numFmtId="0" fontId="12" fillId="0" borderId="9" applyAlignment="1" pivotButton="0" quotePrefix="0" xfId="0">
      <alignment vertical="center"/>
    </xf>
    <xf numFmtId="0" fontId="5" fillId="0" borderId="7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14" fontId="5" fillId="0" borderId="2" applyAlignment="1" pivotButton="0" quotePrefix="0" xfId="0">
      <alignment horizontal="left" vertical="center" wrapText="1"/>
    </xf>
    <xf numFmtId="164" fontId="15" fillId="0" borderId="5" applyAlignment="1" pivotButton="0" quotePrefix="0" xfId="0">
      <alignment horizontal="right" vertical="center" wrapText="1"/>
    </xf>
    <xf numFmtId="0" fontId="5" fillId="0" borderId="4" applyAlignment="1" pivotButton="0" quotePrefix="0" xfId="0">
      <alignment horizontal="center" vertical="center"/>
    </xf>
    <xf numFmtId="0" fontId="5" fillId="0" borderId="15" applyAlignment="1" pivotButton="0" quotePrefix="0" xfId="0">
      <alignment vertical="center"/>
    </xf>
    <xf numFmtId="0" fontId="5" fillId="0" borderId="9" applyAlignment="1" pivotButton="0" quotePrefix="0" xfId="0">
      <alignment vertical="top"/>
    </xf>
    <xf numFmtId="0" fontId="5" fillId="0" borderId="7" applyAlignment="1" pivotButton="0" quotePrefix="0" xfId="0">
      <alignment vertical="top"/>
    </xf>
    <xf numFmtId="164" fontId="10" fillId="0" borderId="5" applyAlignment="1" pivotButton="0" quotePrefix="0" xfId="0">
      <alignment horizontal="center" vertical="center"/>
    </xf>
    <xf numFmtId="0" fontId="5" fillId="0" borderId="14" applyAlignment="1" pivotButton="0" quotePrefix="0" xfId="0">
      <alignment horizontal="center" vertical="center" wrapText="1"/>
    </xf>
    <xf numFmtId="0" fontId="5" fillId="0" borderId="16" applyAlignment="1" pivotButton="0" quotePrefix="0" xfId="0">
      <alignment horizontal="center" vertical="center"/>
    </xf>
    <xf numFmtId="0" fontId="5" fillId="0" borderId="10" applyAlignment="1" pivotButton="0" quotePrefix="0" xfId="0">
      <alignment horizontal="center" vertical="center" wrapText="1"/>
    </xf>
    <xf numFmtId="0" fontId="5" fillId="0" borderId="12" applyAlignment="1" pivotButton="0" quotePrefix="0" xfId="0">
      <alignment horizontal="center" vertical="center" wrapText="1"/>
    </xf>
    <xf numFmtId="0" fontId="5" fillId="0" borderId="9" applyAlignment="1" pivotButton="0" quotePrefix="0" xfId="0">
      <alignment horizontal="center" vertical="center"/>
    </xf>
    <xf numFmtId="0" fontId="5" fillId="0" borderId="4" applyAlignment="1" pivotButton="0" quotePrefix="0" xfId="0">
      <alignment horizontal="left" vertical="center"/>
    </xf>
    <xf numFmtId="0" fontId="5" fillId="0" borderId="8" applyAlignment="1" pivotButton="0" quotePrefix="0" xfId="0">
      <alignment horizontal="left" vertical="center"/>
    </xf>
    <xf numFmtId="0" fontId="5" fillId="0" borderId="0" applyAlignment="1" pivotButton="0" quotePrefix="0" xfId="0">
      <alignment vertical="top"/>
    </xf>
    <xf numFmtId="164" fontId="15" fillId="0" borderId="0" applyAlignment="1" pivotButton="0" quotePrefix="0" xfId="0">
      <alignment horizontal="center" vertical="center" wrapText="1"/>
    </xf>
    <xf numFmtId="164" fontId="15" fillId="0" borderId="18" applyAlignment="1" pivotButton="0" quotePrefix="0" xfId="0">
      <alignment horizontal="right" vertical="center" wrapText="1"/>
    </xf>
    <xf numFmtId="164" fontId="15" fillId="0" borderId="16" applyAlignment="1" pivotButton="0" quotePrefix="0" xfId="0">
      <alignment horizontal="right" vertical="center" wrapText="1"/>
    </xf>
    <xf numFmtId="0" fontId="16" fillId="0" borderId="5" applyAlignment="1" pivotButton="0" quotePrefix="0" xfId="0">
      <alignment horizontal="center" vertical="center"/>
    </xf>
    <xf numFmtId="0" fontId="13" fillId="0" borderId="6" applyAlignment="1" pivotButton="0" quotePrefix="0" xfId="0">
      <alignment horizontal="center" vertical="center"/>
    </xf>
    <xf numFmtId="0" fontId="5" fillId="0" borderId="19" applyAlignment="1" pivotButton="0" quotePrefix="0" xfId="0">
      <alignment horizontal="center" vertical="center"/>
    </xf>
    <xf numFmtId="0" fontId="16" fillId="0" borderId="9" applyAlignment="1" pivotButton="0" quotePrefix="0" xfId="0">
      <alignment vertical="center"/>
    </xf>
    <xf numFmtId="0" fontId="16" fillId="0" borderId="7" applyAlignment="1" pivotButton="0" quotePrefix="0" xfId="0">
      <alignment vertical="center"/>
    </xf>
    <xf numFmtId="164" fontId="13" fillId="0" borderId="16" applyAlignment="1" pivotButton="0" quotePrefix="0" xfId="0">
      <alignment vertical="top" wrapText="1"/>
    </xf>
    <xf numFmtId="165" fontId="5" fillId="0" borderId="13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16" fillId="0" borderId="5" applyAlignment="1" pivotButton="0" quotePrefix="0" xfId="0">
      <alignment vertical="center"/>
    </xf>
    <xf numFmtId="164" fontId="13" fillId="0" borderId="6" applyAlignment="1" pivotButton="0" quotePrefix="0" xfId="0">
      <alignment vertical="top" wrapText="1"/>
    </xf>
    <xf numFmtId="0" fontId="5" fillId="0" borderId="18" applyAlignment="1" pivotButton="0" quotePrefix="0" xfId="0">
      <alignment horizontal="center" vertical="center"/>
    </xf>
    <xf numFmtId="0" fontId="5" fillId="0" borderId="0" applyAlignment="1" pivotButton="0" quotePrefix="1" xfId="0">
      <alignment vertical="top"/>
    </xf>
    <xf numFmtId="0" fontId="16" fillId="0" borderId="4" applyAlignment="1" pivotButton="0" quotePrefix="0" xfId="0">
      <alignment horizontal="center" vertical="center"/>
    </xf>
    <xf numFmtId="164" fontId="5" fillId="0" borderId="0" applyAlignment="1" pivotButton="0" quotePrefix="0" xfId="0">
      <alignment vertical="center"/>
    </xf>
    <xf numFmtId="164" fontId="10" fillId="0" borderId="2" applyAlignment="1" pivotButton="0" quotePrefix="0" xfId="0">
      <alignment horizontal="center" vertical="top"/>
    </xf>
    <xf numFmtId="164" fontId="10" fillId="0" borderId="3" applyAlignment="1" pivotButton="0" quotePrefix="0" xfId="0">
      <alignment horizontal="center" vertical="top"/>
    </xf>
    <xf numFmtId="0" fontId="7" fillId="0" borderId="0" applyAlignment="1" pivotButton="0" quotePrefix="0" xfId="0">
      <alignment horizontal="left" vertical="center"/>
    </xf>
    <xf numFmtId="164" fontId="15" fillId="0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/>
    </xf>
    <xf numFmtId="0" fontId="5" fillId="0" borderId="5" applyAlignment="1" pivotButton="0" quotePrefix="0" xfId="0">
      <alignment horizontal="center" vertical="center"/>
    </xf>
    <xf numFmtId="0" fontId="5" fillId="0" borderId="10" applyAlignment="1" pivotButton="0" quotePrefix="0" xfId="0">
      <alignment horizontal="right" vertical="center"/>
    </xf>
    <xf numFmtId="0" fontId="5" fillId="0" borderId="11" applyAlignment="1" pivotButton="0" quotePrefix="0" xfId="0">
      <alignment horizontal="right" vertical="center"/>
    </xf>
    <xf numFmtId="0" fontId="5" fillId="0" borderId="12" applyAlignment="1" pivotButton="0" quotePrefix="0" xfId="0">
      <alignment horizontal="right" vertical="center"/>
    </xf>
    <xf numFmtId="166" fontId="5" fillId="0" borderId="10" applyAlignment="1" pivotButton="0" quotePrefix="0" xfId="0">
      <alignment horizontal="center" vertical="top"/>
    </xf>
    <xf numFmtId="166" fontId="5" fillId="0" borderId="11" applyAlignment="1" pivotButton="0" quotePrefix="0" xfId="0">
      <alignment horizontal="center" vertical="top"/>
    </xf>
    <xf numFmtId="166" fontId="5" fillId="0" borderId="12" applyAlignment="1" pivotButton="0" quotePrefix="0" xfId="0">
      <alignment horizontal="center" vertical="top"/>
    </xf>
    <xf numFmtId="0" fontId="8" fillId="0" borderId="0" applyAlignment="1" pivotButton="0" quotePrefix="0" xfId="0">
      <alignment horizontal="center" vertical="center"/>
    </xf>
    <xf numFmtId="0" fontId="5" fillId="0" borderId="14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center" vertical="center" wrapText="1"/>
    </xf>
    <xf numFmtId="0" fontId="5" fillId="0" borderId="12" applyAlignment="1" pivotButton="0" quotePrefix="0" xfId="0">
      <alignment horizontal="center" vertical="center" wrapText="1"/>
    </xf>
    <xf numFmtId="0" fontId="5" fillId="0" borderId="17" applyAlignment="1" pivotButton="0" quotePrefix="0" xfId="0">
      <alignment horizontal="left" vertical="top" wrapText="1"/>
    </xf>
    <xf numFmtId="164" fontId="15" fillId="0" borderId="1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5" fillId="0" borderId="5" applyAlignment="1" pivotButton="0" quotePrefix="0" xfId="0">
      <alignment vertical="top" wrapText="1"/>
    </xf>
    <xf numFmtId="0" fontId="5" fillId="0" borderId="2" applyAlignment="1" pivotButton="0" quotePrefix="0" xfId="0">
      <alignment horizontal="left" vertical="top"/>
    </xf>
    <xf numFmtId="0" fontId="2" fillId="0" borderId="9" applyAlignment="1" pivotButton="0" quotePrefix="0" xfId="1">
      <alignment vertical="center" shrinkToFit="1"/>
    </xf>
    <xf numFmtId="0" fontId="5" fillId="0" borderId="9" applyAlignment="1" pivotButton="0" quotePrefix="0" xfId="0">
      <alignment vertical="center" shrinkToFit="1"/>
    </xf>
    <xf numFmtId="0" fontId="5" fillId="0" borderId="7" applyAlignment="1" pivotButton="0" quotePrefix="0" xfId="0">
      <alignment vertical="center" shrinkToFit="1"/>
    </xf>
    <xf numFmtId="164" fontId="15" fillId="0" borderId="5" applyAlignment="1" pivotButton="0" quotePrefix="0" xfId="0">
      <alignment horizontal="center" vertical="center"/>
    </xf>
    <xf numFmtId="164" fontId="15" fillId="0" borderId="4" applyAlignment="1" pivotButton="0" quotePrefix="0" xfId="0">
      <alignment horizontal="center" vertical="center"/>
    </xf>
    <xf numFmtId="164" fontId="15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7" fillId="0" borderId="20" pivotButton="0" quotePrefix="0" xfId="0"/>
    <xf numFmtId="0" fontId="0" fillId="0" borderId="2" pivotButton="0" quotePrefix="0" xfId="0"/>
    <xf numFmtId="0" fontId="0" fillId="0" borderId="5" pivotButton="0" quotePrefix="0" xfId="0"/>
    <xf numFmtId="0" fontId="0" fillId="0" borderId="17" pivotButton="0" quotePrefix="0" xfId="0"/>
    <xf numFmtId="0" fontId="2" fillId="0" borderId="7" applyAlignment="1" pivotButton="0" quotePrefix="0" xfId="1">
      <alignment vertical="center" shrinkToFit="1"/>
    </xf>
    <xf numFmtId="0" fontId="0" fillId="0" borderId="9" pivotButton="0" quotePrefix="0" xfId="0"/>
    <xf numFmtId="0" fontId="0" fillId="0" borderId="7" pivotButton="0" quotePrefix="0" xfId="0"/>
    <xf numFmtId="0" fontId="0" fillId="0" borderId="11" pivotButton="0" quotePrefix="0" xfId="0"/>
    <xf numFmtId="0" fontId="0" fillId="0" borderId="12" pivotButton="0" quotePrefix="0" xfId="0"/>
    <xf numFmtId="165" fontId="5" fillId="0" borderId="13" applyAlignment="1" pivotButton="0" quotePrefix="0" xfId="0">
      <alignment horizontal="center" vertical="center"/>
    </xf>
    <xf numFmtId="164" fontId="15" fillId="0" borderId="18" applyAlignment="1" pivotButton="0" quotePrefix="0" xfId="0">
      <alignment horizontal="center" vertical="center" wrapText="1"/>
    </xf>
    <xf numFmtId="0" fontId="0" fillId="0" borderId="3" pivotButton="0" quotePrefix="0" xfId="0"/>
    <xf numFmtId="164" fontId="17" fillId="0" borderId="20" pivotButton="0" quotePrefix="0" xfId="0"/>
    <xf numFmtId="164" fontId="15" fillId="0" borderId="6" applyAlignment="1" pivotButton="0" quotePrefix="0" xfId="0">
      <alignment horizontal="center" vertical="center" wrapText="1"/>
    </xf>
    <xf numFmtId="164" fontId="10" fillId="0" borderId="5" applyAlignment="1" pivotButton="0" quotePrefix="0" xfId="0">
      <alignment horizontal="center" vertical="center"/>
    </xf>
    <xf numFmtId="164" fontId="5" fillId="0" borderId="4" applyAlignment="1" pivotButton="0" quotePrefix="0" xfId="0">
      <alignment vertical="center"/>
    </xf>
    <xf numFmtId="164" fontId="15" fillId="0" borderId="6" applyAlignment="1" pivotButton="0" quotePrefix="0" xfId="0">
      <alignment horizontal="center" vertical="center"/>
    </xf>
    <xf numFmtId="164" fontId="5" fillId="0" borderId="0" applyAlignment="1" pivotButton="0" quotePrefix="0" xfId="0">
      <alignment vertical="center"/>
    </xf>
    <xf numFmtId="164" fontId="13" fillId="0" borderId="6" applyAlignment="1" pivotButton="0" quotePrefix="0" xfId="0">
      <alignment vertical="top" wrapText="1"/>
    </xf>
    <xf numFmtId="164" fontId="13" fillId="0" borderId="16" applyAlignment="1" pivotButton="0" quotePrefix="0" xfId="0">
      <alignment vertical="top" wrapText="1"/>
    </xf>
    <xf numFmtId="0" fontId="5" fillId="0" borderId="14" applyAlignment="1" pivotButton="0" quotePrefix="0" xfId="0">
      <alignment horizontal="right" vertical="center"/>
    </xf>
    <xf numFmtId="166" fontId="5" fillId="0" borderId="14" applyAlignment="1" pivotButton="0" quotePrefix="0" xfId="0">
      <alignment horizontal="center" vertical="top"/>
    </xf>
    <xf numFmtId="164" fontId="10" fillId="0" borderId="3" applyAlignment="1" pivotButton="0" quotePrefix="0" xfId="0">
      <alignment horizontal="center" vertical="top"/>
    </xf>
    <xf numFmtId="0" fontId="0" fillId="0" borderId="21" pivotButton="0" quotePrefix="0" xfId="0"/>
  </cellXfs>
  <cellStyles count="2">
    <cellStyle name="一般" xfId="0" builtinId="0"/>
    <cellStyle name="超連結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>
    <from>
      <col>0</col>
      <colOff>66507</colOff>
      <row>0</row>
      <rowOff>19050</rowOff>
    </from>
    <to>
      <col>0</col>
      <colOff>504824</colOff>
      <row>2</row>
      <rowOff>62157</rowOff>
    </to>
    <pic>
      <nvPicPr>
        <cNvPr id="7" name="圖片 6" descr="mark-"/>
        <cNvPicPr>
          <a:picLocks noChangeAspect="1" noChangeArrowheads="1"/>
        </cNvPicPr>
      </nvPicPr>
      <blipFill>
        <a:blip cstate="print" r:embed="rId1"/>
        <a:srcRect/>
        <a:stretch>
          <a:fillRect/>
        </a:stretch>
      </blipFill>
      <spPr bwMode="auto">
        <a:xfrm>
          <a:off x="66507" y="19050"/>
          <a:ext cx="438317" cy="481257"/>
        </a:xfrm>
        <a:prstGeom prst="rect">
          <avLst/>
        </a:prstGeom>
        <a:noFill/>
        <a:ln>
          <a:prstDash val="solid"/>
        </a:ln>
      </spPr>
    </pic>
    <clientData/>
  </twoCellAnchor>
  <twoCellAnchor>
    <from>
      <col>0</col>
      <colOff>514351</colOff>
      <row>0</row>
      <rowOff>56014</rowOff>
    </from>
    <to>
      <col>1</col>
      <colOff>1085852</colOff>
      <row>3</row>
      <rowOff>57150</rowOff>
    </to>
    <pic>
      <nvPicPr>
        <cNvPr id="8" name="圖片 7" descr="word mark"/>
        <cNvPicPr>
          <a:picLocks noChangeAspect="1" noChangeArrowheads="1"/>
        </cNvPicPr>
      </nvPicPr>
      <blipFill>
        <a:blip cstate="print" r:embed="rId2"/>
        <a:srcRect/>
        <a:stretch>
          <a:fillRect/>
        </a:stretch>
      </blipFill>
      <spPr bwMode="auto">
        <a:xfrm>
          <a:off x="514351" y="56014"/>
          <a:ext cx="1409701" cy="639311"/>
        </a:xfrm>
        <a:prstGeom prst="rect">
          <avLst/>
        </a:prstGeom>
        <a:noFill/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tabSelected="1" zoomScale="85" zoomScaleNormal="85" zoomScalePageLayoutView="120" workbookViewId="0">
      <selection activeCell="B22" sqref="B22"/>
    </sheetView>
  </sheetViews>
  <sheetFormatPr baseColWidth="8" defaultRowHeight="15.75"/>
  <cols>
    <col width="11" customWidth="1" style="2" min="1" max="1"/>
    <col width="19.875" customWidth="1" style="2" min="2" max="2"/>
    <col width="6.5" customWidth="1" style="2" min="3" max="3"/>
    <col width="15" customWidth="1" style="2" min="4" max="4"/>
    <col width="20" customWidth="1" style="2" min="5" max="5"/>
    <col width="5.5" customWidth="1" style="2" min="6" max="6"/>
    <col width="10.75" customWidth="1" style="2" min="7" max="7"/>
    <col width="12.625" customWidth="1" style="2" min="8" max="8"/>
    <col width="8.125" customWidth="1" style="2" min="9" max="9"/>
    <col width="4.875" customWidth="1" style="2" min="10" max="10"/>
    <col width="0.125" customWidth="1" style="2" min="11" max="11"/>
    <col width="9" customWidth="1" style="2" min="12" max="16384"/>
  </cols>
  <sheetData>
    <row r="1" ht="18.75" customHeight="1" s="93">
      <c r="A1" s="1" t="inlineStr">
        <is>
          <t>                             </t>
        </is>
      </c>
      <c r="K1" s="94" t="n"/>
      <c r="L1" s="94" t="n"/>
      <c r="M1" s="94" t="n"/>
      <c r="N1" s="94" t="n"/>
      <c r="O1" s="94" t="n"/>
      <c r="P1" s="94" t="n"/>
      <c r="Q1" s="94" t="n"/>
      <c r="R1" s="94" t="n"/>
      <c r="S1" s="94" t="n"/>
      <c r="T1" s="94" t="n"/>
      <c r="U1" s="94" t="n"/>
    </row>
    <row r="2">
      <c r="K2" s="94" t="n"/>
      <c r="L2" s="94" t="n"/>
      <c r="M2" s="94" t="n"/>
      <c r="N2" s="94" t="n"/>
      <c r="O2" s="94" t="n"/>
      <c r="P2" s="94" t="n"/>
      <c r="Q2" s="94" t="n"/>
      <c r="R2" s="94" t="n"/>
      <c r="S2" s="94" t="n"/>
      <c r="T2" s="94" t="n"/>
      <c r="U2" s="94" t="n"/>
    </row>
    <row r="3">
      <c r="K3" s="94" t="n"/>
      <c r="L3" s="94" t="n"/>
      <c r="M3" s="94" t="n"/>
      <c r="N3" s="94" t="n"/>
      <c r="O3" s="94" t="n"/>
      <c r="P3" s="94" t="n"/>
      <c r="Q3" s="94" t="n"/>
      <c r="R3" s="94" t="n"/>
      <c r="S3" s="94" t="n"/>
      <c r="T3" s="94" t="n"/>
      <c r="U3" s="94" t="n"/>
    </row>
    <row r="4" ht="12.75" customHeight="1" s="93">
      <c r="K4" s="94" t="n"/>
      <c r="L4" s="94" t="n"/>
      <c r="M4" s="94" t="n"/>
      <c r="N4" s="94" t="n"/>
      <c r="O4" s="94" t="n"/>
      <c r="P4" s="94" t="n"/>
      <c r="Q4" s="94" t="n"/>
      <c r="R4" s="94" t="n"/>
      <c r="S4" s="94" t="n"/>
      <c r="T4" s="94" t="n"/>
      <c r="U4" s="94" t="n"/>
    </row>
    <row r="5">
      <c r="A5" s="30" t="inlineStr">
        <is>
          <t xml:space="preserve">台中市北屯區景南巷1-1號                                                                                    </t>
        </is>
      </c>
      <c r="B5" s="3" t="n"/>
      <c r="C5" s="3" t="n"/>
      <c r="D5" s="3" t="n"/>
      <c r="E5" s="3" t="n"/>
      <c r="F5" s="3" t="n"/>
      <c r="G5" s="3" t="n"/>
      <c r="H5" s="66" t="inlineStr">
        <is>
          <t>TEL：+886-4-2435-0381</t>
        </is>
      </c>
      <c r="K5" s="94" t="n"/>
      <c r="L5" s="94" t="n"/>
      <c r="M5" s="94" t="n"/>
      <c r="N5" s="94" t="n"/>
      <c r="O5" s="94" t="n"/>
      <c r="P5" s="94" t="n"/>
      <c r="Q5" s="94" t="n"/>
      <c r="R5" s="94" t="n"/>
      <c r="S5" s="94" t="n"/>
      <c r="T5" s="94" t="n"/>
      <c r="U5" s="94" t="n"/>
    </row>
    <row r="6">
      <c r="A6" s="66" t="inlineStr">
        <is>
          <t xml:space="preserve">No. 1-1, Jingnan Ln., Beitun Dist., Taichung City 406, Taiwan (R.O.C.)         </t>
        </is>
      </c>
      <c r="B6" s="4" t="n"/>
      <c r="C6" s="4" t="n"/>
      <c r="D6" s="4" t="n"/>
      <c r="E6" s="4" t="n"/>
      <c r="F6" s="4" t="n"/>
      <c r="G6" s="4" t="n"/>
      <c r="H6" s="66" t="inlineStr">
        <is>
          <t>FAX：+886-4-2327-5352</t>
        </is>
      </c>
      <c r="K6" s="94" t="n"/>
      <c r="L6" s="94" t="n"/>
      <c r="M6" s="94" t="n"/>
      <c r="N6" s="94" t="n"/>
      <c r="O6" s="94" t="n"/>
      <c r="P6" s="94" t="n"/>
      <c r="Q6" s="94" t="n"/>
      <c r="R6" s="94" t="n"/>
      <c r="S6" s="94" t="n"/>
      <c r="T6" s="94" t="n"/>
      <c r="U6" s="94" t="n"/>
    </row>
    <row r="7" ht="20.25" customHeight="1" s="93">
      <c r="A7" s="77" t="inlineStr">
        <is>
          <t>驗 機 單</t>
        </is>
      </c>
      <c r="K7" s="94" t="n"/>
      <c r="L7" s="94" t="n"/>
      <c r="M7" s="94" t="n"/>
      <c r="N7" s="94" t="n"/>
      <c r="O7" s="94" t="n"/>
      <c r="P7" s="94" t="n"/>
      <c r="Q7" s="94" t="n"/>
      <c r="R7" s="94" t="n"/>
      <c r="S7" s="94" t="n"/>
      <c r="T7" s="94" t="n"/>
      <c r="U7" s="94" t="n"/>
    </row>
    <row r="8" ht="20.25" customHeight="1" s="93">
      <c r="A8" s="77" t="n"/>
      <c r="K8" s="94" t="n"/>
      <c r="L8" s="94" t="n"/>
      <c r="M8" s="94" t="n"/>
      <c r="N8" s="94" t="n"/>
      <c r="O8" s="94" t="n"/>
      <c r="P8" s="94" t="n"/>
      <c r="Q8" s="94" t="n"/>
      <c r="R8" s="94" t="n"/>
      <c r="S8" s="94" t="n"/>
      <c r="T8" s="94" t="n"/>
      <c r="U8" s="94" t="n"/>
    </row>
    <row r="9" ht="18" customHeight="1" s="93" thickBot="1">
      <c r="A9" s="5" t="inlineStr">
        <is>
          <t xml:space="preserve">驗機單號 ：    </t>
        </is>
      </c>
      <c r="B9" s="5" t="inlineStr">
        <is>
          <t>CH1150407002</t>
        </is>
      </c>
      <c r="D9" s="2" t="inlineStr">
        <is>
          <t xml:space="preserve">報價日期：   </t>
        </is>
      </c>
      <c r="E9" s="6" t="n">
        <v>46119</v>
      </c>
      <c r="G9" s="5" t="inlineStr">
        <is>
          <t xml:space="preserve"> 幣        別：</t>
        </is>
      </c>
      <c r="H9" s="2" t="inlineStr">
        <is>
          <t xml:space="preserve">TWD       </t>
        </is>
      </c>
      <c r="I9" s="7" t="n"/>
      <c r="K9" s="94" t="n"/>
      <c r="L9" s="94" t="n"/>
      <c r="M9" s="94" t="n"/>
      <c r="N9" s="94" t="n"/>
      <c r="O9" s="94" t="n"/>
      <c r="P9" s="94" t="n"/>
      <c r="Q9" s="94" t="n"/>
      <c r="R9" s="94" t="n"/>
      <c r="S9" s="94" t="n"/>
      <c r="T9" s="94" t="n"/>
      <c r="U9" s="94" t="n"/>
    </row>
    <row r="10" ht="18" customHeight="1" s="93" thickTop="1">
      <c r="A10" s="31" t="inlineStr">
        <is>
          <t>客戶全名：</t>
        </is>
      </c>
      <c r="B10" s="86" t="inlineStr">
        <is>
          <t>科藝有限公司</t>
        </is>
      </c>
      <c r="C10" s="95" t="n"/>
      <c r="D10" s="95" t="n"/>
      <c r="E10" s="8" t="n"/>
      <c r="F10" s="8" t="n"/>
      <c r="G10" s="8" t="inlineStr">
        <is>
          <t xml:space="preserve"> 有效日期：</t>
        </is>
      </c>
      <c r="H10" s="32">
        <f>E9+15</f>
        <v/>
      </c>
      <c r="I10" s="8" t="n"/>
      <c r="J10" s="9" t="n"/>
      <c r="K10" s="94" t="n"/>
      <c r="L10" s="94" t="n"/>
      <c r="M10" s="94" t="n"/>
      <c r="N10" s="94" t="n"/>
      <c r="O10" s="94" t="n"/>
      <c r="P10" s="94" t="n"/>
      <c r="Q10" s="94" t="n"/>
      <c r="R10" s="94" t="n"/>
      <c r="S10" s="94" t="n"/>
      <c r="T10" s="94" t="n"/>
      <c r="U10" s="94" t="n"/>
    </row>
    <row r="11" ht="18" customHeight="1" s="93">
      <c r="A11" s="44" t="inlineStr">
        <is>
          <t>電       話：</t>
        </is>
      </c>
      <c r="B11" s="61" t="n"/>
      <c r="C11" s="46" t="n"/>
      <c r="G11" s="2" t="inlineStr">
        <is>
          <t xml:space="preserve"> 傳       真：</t>
        </is>
      </c>
      <c r="H11" s="85" t="n"/>
      <c r="J11" s="96" t="n"/>
      <c r="K11" s="94" t="n"/>
      <c r="L11" s="94" t="n"/>
      <c r="M11" s="94" t="n"/>
      <c r="N11" s="94" t="n"/>
      <c r="O11" s="94" t="n"/>
      <c r="P11" s="94" t="n"/>
      <c r="Q11" s="94" t="n"/>
      <c r="R11" s="94" t="n"/>
      <c r="S11" s="94" t="n"/>
      <c r="T11" s="94" t="n"/>
      <c r="U11" s="94" t="n"/>
    </row>
    <row r="12" ht="18" customHeight="1" s="93">
      <c r="A12" s="44" t="inlineStr">
        <is>
          <t>聯 絡 人 ：</t>
        </is>
      </c>
      <c r="B12" s="2" t="n"/>
      <c r="G12" s="2" t="inlineStr">
        <is>
          <t xml:space="preserve"> 統一編號：</t>
        </is>
      </c>
      <c r="H12" s="5" t="n"/>
      <c r="J12" s="10" t="n"/>
      <c r="K12" s="94" t="n"/>
      <c r="L12" s="94" t="n"/>
      <c r="M12" s="94" t="n"/>
      <c r="N12" s="94" t="n"/>
      <c r="O12" s="94" t="n"/>
      <c r="P12" s="94" t="n"/>
      <c r="Q12" s="94" t="n"/>
      <c r="R12" s="94" t="n"/>
      <c r="S12" s="94" t="n"/>
      <c r="T12" s="94" t="n"/>
      <c r="U12" s="94" t="n"/>
    </row>
    <row r="13" ht="18" customHeight="1" s="93" thickBot="1">
      <c r="A13" s="45" t="inlineStr">
        <is>
          <t>聯絡地址：</t>
        </is>
      </c>
      <c r="B13" s="81" t="n"/>
      <c r="C13" s="97" t="n"/>
      <c r="D13" s="97" t="n"/>
      <c r="E13" s="97" t="n"/>
      <c r="F13" s="97" t="n"/>
      <c r="G13" s="24" t="inlineStr">
        <is>
          <t xml:space="preserve">  E-MAIL  :</t>
        </is>
      </c>
      <c r="H13" s="98" t="n"/>
      <c r="I13" s="99" t="n"/>
      <c r="J13" s="100" t="n"/>
      <c r="K13" s="94" t="n"/>
      <c r="L13" s="94" t="n"/>
      <c r="M13" s="94" t="n"/>
      <c r="N13" s="94" t="n"/>
      <c r="O13" s="94" t="n"/>
      <c r="P13" s="94" t="n"/>
      <c r="Q13" s="94" t="n"/>
      <c r="R13" s="94" t="n"/>
      <c r="S13" s="94" t="n"/>
      <c r="T13" s="94" t="n"/>
      <c r="U13" s="94" t="n"/>
    </row>
    <row r="14" ht="18" customHeight="1" s="93" thickBot="1" thickTop="1">
      <c r="A14" s="78" t="inlineStr">
        <is>
          <t>序</t>
        </is>
      </c>
      <c r="B14" s="78" t="inlineStr">
        <is>
          <t>品號</t>
        </is>
      </c>
      <c r="C14" s="78" t="inlineStr">
        <is>
          <t>品名 / 規格</t>
        </is>
      </c>
      <c r="D14" s="101" t="n"/>
      <c r="E14" s="102" t="n"/>
      <c r="F14" s="79" t="inlineStr">
        <is>
          <t>數量</t>
        </is>
      </c>
      <c r="G14" s="78" t="inlineStr">
        <is>
          <t>單位</t>
        </is>
      </c>
      <c r="H14" s="80" t="inlineStr">
        <is>
          <t>單  價</t>
        </is>
      </c>
      <c r="I14" s="78" t="inlineStr">
        <is>
          <t>小計</t>
        </is>
      </c>
      <c r="J14" s="102" t="n"/>
      <c r="K14" s="94" t="n"/>
      <c r="L14" s="94" t="n"/>
      <c r="M14" s="94" t="n"/>
      <c r="N14" s="94" t="n"/>
      <c r="O14" s="94" t="n"/>
      <c r="P14" s="94" t="n"/>
      <c r="Q14" s="94" t="n"/>
      <c r="R14" s="94" t="n"/>
      <c r="S14" s="94" t="n"/>
      <c r="T14" s="94" t="n"/>
      <c r="U14" s="94" t="n"/>
    </row>
    <row r="15" ht="18" customHeight="1" s="93" thickBot="1" thickTop="1">
      <c r="A15" s="11" t="n">
        <v>1</v>
      </c>
      <c r="B15" s="60" t="inlineStr">
        <is>
          <t>拖板車維修</t>
        </is>
      </c>
      <c r="C15" s="2" t="inlineStr">
        <is>
          <t>他牌油壓拖板車維修</t>
        </is>
      </c>
      <c r="E15" s="35" t="n"/>
      <c r="F15" s="19" t="n">
        <v>1</v>
      </c>
      <c r="G15" s="11" t="inlineStr">
        <is>
          <t>式</t>
        </is>
      </c>
      <c r="H15" s="103" t="n"/>
      <c r="I15" s="104">
        <f>F15*H15</f>
        <v/>
      </c>
      <c r="J15" s="105" t="n"/>
      <c r="K15" s="94" t="n"/>
      <c r="L15" s="94" t="n"/>
      <c r="M15" s="94" t="n"/>
      <c r="N15" s="94" t="n"/>
      <c r="O15" s="94" t="n"/>
      <c r="P15" s="94" t="n"/>
      <c r="Q15" s="94" t="n"/>
      <c r="R15" s="94" t="n"/>
      <c r="S15" s="94" t="n"/>
      <c r="T15" s="94" t="n"/>
      <c r="U15" s="94" t="n"/>
    </row>
    <row r="16" ht="18" customHeight="1" s="93" thickTop="1">
      <c r="A16" s="11" t="n"/>
      <c r="B16" s="11" t="n"/>
      <c r="C16" s="2" t="inlineStr">
        <is>
          <t>更換油封組/更換作動油/油路清洗</t>
        </is>
      </c>
      <c r="E16" s="10" t="n"/>
      <c r="F16" s="14" t="n"/>
      <c r="G16" s="14" t="n"/>
      <c r="H16" s="14" t="n"/>
      <c r="I16" s="11" t="n"/>
      <c r="J16" s="96" t="n"/>
      <c r="K16" s="106" t="n"/>
      <c r="L16" s="94" t="n"/>
      <c r="M16" s="94" t="n"/>
      <c r="N16" s="94" t="n"/>
      <c r="O16" s="94" t="n"/>
      <c r="P16" s="94" t="n"/>
      <c r="Q16" s="94" t="n"/>
      <c r="R16" s="94" t="n"/>
      <c r="S16" s="94" t="n"/>
      <c r="T16" s="94" t="n"/>
      <c r="U16" s="106" t="n"/>
    </row>
    <row r="17" ht="18" customHeight="1" s="93" thickBot="1">
      <c r="A17" s="11" t="n"/>
      <c r="B17" s="14" t="n"/>
      <c r="C17" s="17" t="n"/>
      <c r="E17" s="10" t="n"/>
      <c r="F17" s="11" t="n"/>
      <c r="G17" s="11" t="n"/>
      <c r="H17" s="51" t="n"/>
      <c r="I17" s="62" t="n"/>
      <c r="J17" s="50" t="n"/>
      <c r="K17" s="106" t="n"/>
      <c r="L17" s="94" t="n"/>
      <c r="M17" s="94" t="n"/>
      <c r="N17" s="94" t="n"/>
      <c r="O17" s="94" t="n"/>
      <c r="P17" s="94" t="n"/>
      <c r="Q17" s="94" t="n"/>
      <c r="R17" s="94" t="n"/>
      <c r="S17" s="94" t="n"/>
      <c r="T17" s="94" t="n"/>
      <c r="U17" s="94" t="n"/>
    </row>
    <row r="18" ht="18" customHeight="1" s="93" thickTop="1">
      <c r="A18" s="11" t="n">
        <v>2</v>
      </c>
      <c r="B18" s="11" t="inlineStr">
        <is>
          <t>AP-15W維修</t>
        </is>
      </c>
      <c r="C18" s="2" t="inlineStr">
        <is>
          <t>AP-15W踏舉式油壓升降台車(雙叉式)維修</t>
        </is>
      </c>
      <c r="E18" s="10" t="n"/>
      <c r="F18" s="19" t="n">
        <v>1</v>
      </c>
      <c r="G18" s="11" t="inlineStr">
        <is>
          <t>式</t>
        </is>
      </c>
      <c r="H18" s="103" t="n"/>
      <c r="I18" s="107">
        <f>F18*H18</f>
        <v/>
      </c>
      <c r="J18" s="96" t="n"/>
      <c r="K18" s="106" t="n"/>
      <c r="L18" s="94" t="n"/>
      <c r="M18" s="94" t="n"/>
      <c r="N18" s="94" t="n"/>
      <c r="O18" s="94" t="n"/>
      <c r="P18" s="94" t="n"/>
      <c r="Q18" s="94" t="n"/>
      <c r="R18" s="94" t="n"/>
      <c r="S18" s="94" t="n"/>
      <c r="T18" s="94" t="n"/>
      <c r="U18" s="94" t="n"/>
    </row>
    <row r="19" ht="18" customHeight="1" s="93">
      <c r="A19" s="11" t="n"/>
      <c r="B19" s="11" t="inlineStr">
        <is>
          <t>(序號:T0000515)</t>
        </is>
      </c>
      <c r="C19" s="2" t="inlineStr">
        <is>
          <t>更換油封組/更換作動油/油路清洗</t>
        </is>
      </c>
      <c r="E19" s="10" t="n"/>
      <c r="F19" s="14" t="n"/>
      <c r="G19" s="14" t="n"/>
      <c r="H19" s="14" t="n"/>
      <c r="I19" s="11" t="n"/>
      <c r="J19" s="96" t="n"/>
      <c r="K19" s="94" t="n"/>
      <c r="L19" s="94" t="n"/>
      <c r="M19" s="94" t="n"/>
      <c r="N19" s="94" t="n"/>
      <c r="O19" s="94" t="n"/>
      <c r="P19" s="94" t="n"/>
      <c r="Q19" s="94" t="n"/>
      <c r="R19" s="94" t="n"/>
      <c r="S19" s="94" t="n"/>
      <c r="T19" s="94" t="n"/>
      <c r="U19" s="94" t="n"/>
    </row>
    <row r="20" ht="18" customHeight="1" s="93">
      <c r="A20" s="11" t="n"/>
      <c r="B20" s="69" t="n"/>
      <c r="C20" s="17" t="n"/>
      <c r="E20" s="10" t="n"/>
      <c r="F20" s="17" t="n"/>
      <c r="G20" s="14" t="n"/>
      <c r="H20" s="108" t="n"/>
      <c r="I20" s="109" t="n"/>
      <c r="J20" s="13" t="n"/>
      <c r="K20" s="94" t="n"/>
      <c r="L20" s="94" t="n"/>
      <c r="M20" s="94" t="n"/>
      <c r="N20" s="94" t="n"/>
      <c r="O20" s="94" t="n"/>
      <c r="P20" s="94" t="n"/>
      <c r="Q20" s="94" t="n"/>
      <c r="R20" s="94" t="n"/>
      <c r="S20" s="94" t="n"/>
      <c r="T20" s="94" t="n"/>
      <c r="U20" s="94" t="n"/>
    </row>
    <row r="21" ht="18" customHeight="1" s="93">
      <c r="A21" s="11" t="n">
        <v>3</v>
      </c>
      <c r="B21" s="11" t="inlineStr">
        <is>
          <t>AP-30維修</t>
        </is>
      </c>
      <c r="C21" s="2" t="inlineStr">
        <is>
          <t>AP-30踏舉式油壓升降台車維修</t>
        </is>
      </c>
      <c r="E21" s="10" t="n"/>
      <c r="F21" s="19" t="n">
        <v>1</v>
      </c>
      <c r="G21" s="11" t="inlineStr">
        <is>
          <t>式</t>
        </is>
      </c>
      <c r="H21" s="110" t="inlineStr">
        <is>
          <t>保固內</t>
        </is>
      </c>
      <c r="J21" s="96" t="n"/>
      <c r="K21" s="94" t="n"/>
      <c r="L21" s="94" t="n"/>
      <c r="M21" s="94" t="n"/>
      <c r="N21" s="94" t="n"/>
      <c r="O21" s="94" t="n"/>
      <c r="P21" s="94" t="n"/>
      <c r="Q21" s="94" t="n"/>
      <c r="R21" s="94" t="n"/>
      <c r="S21" s="94" t="n"/>
      <c r="T21" s="94" t="n"/>
      <c r="U21" s="94" t="n"/>
    </row>
    <row r="22" ht="18" customHeight="1" s="93">
      <c r="A22" s="11" t="n"/>
      <c r="B22" s="11" t="inlineStr">
        <is>
          <t>(序號:33150676)</t>
        </is>
      </c>
      <c r="E22" s="10" t="n"/>
      <c r="G22" s="14" t="n"/>
      <c r="H22" s="108" t="n"/>
      <c r="I22" s="111" t="n"/>
      <c r="J22" s="13" t="n"/>
      <c r="K22" s="94" t="n"/>
      <c r="L22" s="94" t="n"/>
      <c r="M22" s="94" t="n"/>
      <c r="N22" s="94" t="n"/>
      <c r="O22" s="94" t="n"/>
      <c r="P22" s="94" t="n"/>
      <c r="Q22" s="94" t="n"/>
      <c r="R22" s="94" t="n"/>
      <c r="S22" s="94" t="n"/>
      <c r="T22" s="94" t="n"/>
      <c r="U22" s="94" t="n"/>
    </row>
    <row r="23" ht="18" customHeight="1" s="93">
      <c r="A23" s="11" t="n"/>
      <c r="B23" s="11" t="n"/>
      <c r="E23" s="10" t="n"/>
      <c r="G23" s="14" t="n"/>
      <c r="H23" s="108" t="n"/>
      <c r="I23" s="111" t="n"/>
      <c r="J23" s="13" t="n"/>
      <c r="K23" s="94" t="n"/>
      <c r="L23" s="94" t="n"/>
      <c r="M23" s="94" t="n"/>
      <c r="N23" s="94" t="n"/>
      <c r="O23" s="94" t="n"/>
      <c r="P23" s="94" t="n"/>
      <c r="Q23" s="94" t="n"/>
      <c r="R23" s="94" t="n"/>
      <c r="S23" s="94" t="n"/>
      <c r="T23" s="94" t="n"/>
      <c r="U23" s="94" t="n"/>
    </row>
    <row r="24" ht="18" customHeight="1" s="93">
      <c r="A24" s="11" t="n"/>
      <c r="B24" s="11" t="n"/>
      <c r="C24" s="27" t="inlineStr">
        <is>
          <t>以上報價含運費及工資</t>
        </is>
      </c>
      <c r="E24" s="10" t="n"/>
      <c r="F24" s="52" t="n"/>
      <c r="G24" s="11" t="n"/>
      <c r="H24" s="112" t="n"/>
      <c r="I24" s="57" t="n"/>
      <c r="J24" s="58" t="n"/>
      <c r="K24" s="94" t="n"/>
      <c r="L24" s="94" t="n"/>
      <c r="M24" s="94" t="n"/>
      <c r="N24" s="94" t="n"/>
      <c r="O24" s="94" t="n"/>
      <c r="P24" s="94" t="n"/>
      <c r="Q24" s="94" t="n"/>
      <c r="R24" s="94" t="n"/>
      <c r="S24" s="94" t="n"/>
      <c r="T24" s="94" t="n"/>
      <c r="U24" s="94" t="n"/>
    </row>
    <row r="25" ht="18" customHeight="1" s="93" thickBot="1">
      <c r="A25" s="40" t="n"/>
      <c r="B25" s="69" t="n"/>
      <c r="C25" s="23" t="n"/>
      <c r="D25" s="36" t="n"/>
      <c r="E25" s="37" t="n"/>
      <c r="F25" s="43" t="n"/>
      <c r="G25" s="40" t="n"/>
      <c r="H25" s="113" t="n"/>
      <c r="I25" s="53" t="n"/>
      <c r="J25" s="54" t="n"/>
      <c r="K25" s="94" t="n"/>
      <c r="L25" s="94" t="n"/>
      <c r="M25" s="94" t="n"/>
      <c r="N25" s="94" t="n"/>
      <c r="O25" s="94" t="n"/>
      <c r="P25" s="94" t="n"/>
      <c r="Q25" s="94" t="n"/>
      <c r="R25" s="94" t="n"/>
      <c r="S25" s="94" t="n"/>
      <c r="T25" s="94" t="n"/>
      <c r="U25" s="94" t="n"/>
    </row>
    <row r="26" ht="18" customHeight="1" s="93" thickBot="1" thickTop="1">
      <c r="A26" s="114" t="inlineStr">
        <is>
          <t>營業稅</t>
        </is>
      </c>
      <c r="B26" s="101" t="n"/>
      <c r="C26" s="101" t="n"/>
      <c r="D26" s="101" t="n"/>
      <c r="E26" s="101" t="n"/>
      <c r="F26" s="101" t="n"/>
      <c r="G26" s="102" t="n"/>
      <c r="H26" s="115">
        <f>SUM(I15:J20)*0.05</f>
        <v/>
      </c>
      <c r="I26" s="101" t="n"/>
      <c r="J26" s="102" t="n"/>
      <c r="K26" s="94" t="n"/>
      <c r="L26" s="94" t="n"/>
      <c r="M26" s="94" t="n"/>
      <c r="N26" s="94" t="n"/>
      <c r="O26" s="94" t="n"/>
      <c r="P26" s="94" t="n"/>
      <c r="Q26" s="94" t="n"/>
      <c r="R26" s="94" t="n"/>
      <c r="S26" s="94" t="n"/>
      <c r="T26" s="94" t="n"/>
      <c r="U26" s="94" t="n"/>
    </row>
    <row r="27" ht="18" customHeight="1" s="93" thickBot="1" thickTop="1">
      <c r="A27" s="114" t="inlineStr">
        <is>
          <t>應收總金額</t>
        </is>
      </c>
      <c r="B27" s="101" t="n"/>
      <c r="C27" s="101" t="n"/>
      <c r="D27" s="101" t="n"/>
      <c r="E27" s="101" t="n"/>
      <c r="F27" s="101" t="n"/>
      <c r="G27" s="102" t="n"/>
      <c r="H27" s="115">
        <f>SUM(I15:K25)*1.05</f>
        <v/>
      </c>
      <c r="I27" s="101" t="n"/>
      <c r="J27" s="102" t="n"/>
      <c r="K27" s="94" t="n"/>
      <c r="L27" s="94" t="n"/>
      <c r="M27" s="94" t="n"/>
      <c r="N27" s="94" t="n"/>
      <c r="O27" s="94" t="n"/>
      <c r="P27" s="94" t="n"/>
      <c r="Q27" s="94" t="n"/>
      <c r="R27" s="94" t="n"/>
      <c r="S27" s="94" t="n"/>
      <c r="T27" s="94" t="n"/>
      <c r="U27" s="94" t="n"/>
    </row>
    <row r="28" ht="18" customHeight="1" s="93" thickTop="1">
      <c r="A28" s="15" t="inlineStr">
        <is>
          <t>備註:</t>
        </is>
      </c>
      <c r="B28" s="2" t="inlineStr">
        <is>
          <t>1.確定訂單內容後請簽章並回傳</t>
        </is>
      </c>
      <c r="C28" s="8" t="n"/>
      <c r="D28" s="8" t="n"/>
      <c r="E28" s="8" t="n"/>
      <c r="F28" s="8" t="n"/>
      <c r="G28" s="8" t="n"/>
      <c r="H28" s="116" t="n"/>
      <c r="I28" s="95" t="n"/>
      <c r="J28" s="105" t="n"/>
      <c r="K28" s="94" t="n"/>
      <c r="L28" s="94" t="n"/>
      <c r="M28" s="94" t="n"/>
      <c r="N28" s="94" t="n"/>
      <c r="O28" s="94" t="n"/>
      <c r="P28" s="94" t="n"/>
      <c r="Q28" s="94" t="n"/>
      <c r="R28" s="94" t="n"/>
      <c r="S28" s="94" t="n"/>
      <c r="T28" s="94" t="n"/>
      <c r="U28" s="94" t="n"/>
    </row>
    <row r="29" ht="18" customHeight="1" s="93">
      <c r="A29" s="16" t="n"/>
      <c r="B29" s="2" t="inlineStr">
        <is>
          <t>2.以上交易價格含營業稅</t>
        </is>
      </c>
      <c r="J29" s="10" t="n"/>
      <c r="K29" s="94" t="n"/>
      <c r="L29" s="94" t="n"/>
      <c r="M29" s="94" t="n"/>
      <c r="N29" s="94" t="n"/>
      <c r="O29" s="94" t="n"/>
      <c r="P29" s="94" t="n"/>
      <c r="Q29" s="94" t="n"/>
      <c r="R29" s="94" t="n"/>
      <c r="S29" s="94" t="n"/>
      <c r="T29" s="94" t="n"/>
      <c r="U29" s="94" t="n"/>
    </row>
    <row r="30" ht="18" customHeight="1" s="93">
      <c r="A30" s="17" t="n"/>
      <c r="B30" s="2" t="inlineStr">
        <is>
          <t>3.付款方式：請先匯款至</t>
        </is>
      </c>
      <c r="F30" s="18" t="n"/>
      <c r="G30" s="18" t="n"/>
      <c r="H30" s="19" t="inlineStr">
        <is>
          <t>訂購請簽章回傳</t>
        </is>
      </c>
      <c r="J30" s="10" t="n"/>
      <c r="K30" s="94" t="n"/>
      <c r="L30" s="94" t="n"/>
      <c r="M30" s="94" t="n"/>
      <c r="N30" s="94" t="n"/>
      <c r="O30" s="94" t="n"/>
      <c r="P30" s="94" t="n"/>
      <c r="Q30" s="94" t="n"/>
      <c r="R30" s="94" t="n"/>
      <c r="S30" s="94" t="n"/>
      <c r="T30" s="94" t="n"/>
      <c r="U30" s="94" t="n"/>
    </row>
    <row r="31" ht="18" customHeight="1" s="93">
      <c r="A31" s="17" t="n"/>
      <c r="B31" s="7" t="inlineStr">
        <is>
          <t>戶名：</t>
        </is>
      </c>
      <c r="C31" s="2" t="inlineStr">
        <is>
          <t>立善科技有限公司</t>
        </is>
      </c>
      <c r="E31" s="18" t="n"/>
      <c r="J31" s="10" t="n"/>
      <c r="K31" s="94" t="n"/>
      <c r="L31" s="94" t="n"/>
      <c r="M31" s="94" t="n"/>
      <c r="N31" s="94" t="n"/>
      <c r="O31" s="94" t="n"/>
      <c r="P31" s="94" t="n"/>
      <c r="Q31" s="94" t="n"/>
      <c r="R31" s="94" t="n"/>
      <c r="S31" s="94" t="n"/>
      <c r="T31" s="94" t="n"/>
      <c r="U31" s="94" t="n"/>
    </row>
    <row r="32" ht="18" customHeight="1" s="93">
      <c r="A32" s="17" t="n"/>
      <c r="B32" s="7" t="inlineStr">
        <is>
          <t>銀行：</t>
        </is>
      </c>
      <c r="C32" s="2" t="inlineStr">
        <is>
          <t>「華南銀行 台中港路分行」</t>
        </is>
      </c>
      <c r="J32" s="10" t="n"/>
      <c r="K32" s="94" t="n"/>
      <c r="L32" s="94" t="n"/>
      <c r="M32" s="94" t="n"/>
      <c r="N32" s="94" t="n"/>
      <c r="O32" s="94" t="n"/>
      <c r="P32" s="94" t="n"/>
      <c r="Q32" s="94" t="n"/>
      <c r="R32" s="94" t="n"/>
      <c r="S32" s="94" t="n"/>
      <c r="T32" s="94" t="n"/>
      <c r="U32" s="94" t="n"/>
    </row>
    <row r="33" ht="18" customHeight="1" s="93">
      <c r="A33" s="17" t="n"/>
      <c r="B33" s="20" t="inlineStr">
        <is>
          <t>帳號：</t>
        </is>
      </c>
      <c r="C33" s="21" t="inlineStr">
        <is>
          <t>424-10-004051-9</t>
        </is>
      </c>
      <c r="D33" s="22" t="n"/>
      <c r="J33" s="10" t="n"/>
      <c r="K33" s="94" t="n"/>
      <c r="L33" s="94" t="n"/>
      <c r="M33" s="94" t="n"/>
      <c r="N33" s="94" t="n"/>
      <c r="O33" s="94" t="n"/>
      <c r="P33" s="94" t="n"/>
      <c r="Q33" s="94" t="n"/>
      <c r="R33" s="94" t="n"/>
      <c r="S33" s="94" t="n"/>
      <c r="T33" s="94" t="n"/>
      <c r="U33" s="94" t="n"/>
    </row>
    <row r="34" ht="18" customHeight="1" s="93">
      <c r="A34" s="17" t="n"/>
      <c r="H34" s="117" t="n"/>
      <c r="J34" s="10" t="n"/>
      <c r="K34" s="94" t="n"/>
      <c r="L34" s="94" t="n"/>
      <c r="M34" s="94" t="n"/>
      <c r="N34" s="94" t="n"/>
      <c r="O34" s="94" t="n"/>
      <c r="P34" s="94" t="n"/>
      <c r="Q34" s="94" t="n"/>
      <c r="R34" s="94" t="n"/>
      <c r="S34" s="94" t="n"/>
      <c r="T34" s="94" t="n"/>
      <c r="U34" s="94" t="n"/>
    </row>
    <row r="35" ht="18" customHeight="1" s="93">
      <c r="A35" s="17" t="n"/>
      <c r="B35" s="20" t="n"/>
      <c r="C35" s="21" t="n"/>
      <c r="D35" s="22" t="n"/>
      <c r="J35" s="10" t="n"/>
      <c r="K35" s="94" t="n"/>
      <c r="L35" s="94" t="n"/>
      <c r="M35" s="94" t="n"/>
      <c r="N35" s="94" t="n"/>
      <c r="O35" s="94" t="n"/>
      <c r="P35" s="94" t="n"/>
      <c r="Q35" s="94" t="n"/>
      <c r="R35" s="94" t="n"/>
      <c r="S35" s="94" t="n"/>
      <c r="T35" s="94" t="n"/>
      <c r="U35" s="94" t="n"/>
    </row>
    <row r="36" ht="18" customHeight="1" s="93" thickBot="1">
      <c r="A36" s="23" t="inlineStr">
        <is>
          <t>製表人：黃中宥</t>
        </is>
      </c>
      <c r="B36" s="24" t="n"/>
      <c r="C36" s="24" t="n"/>
      <c r="D36" s="24" t="n"/>
      <c r="E36" s="25" t="n"/>
      <c r="F36" s="25" t="n"/>
      <c r="G36" s="25" t="n"/>
      <c r="H36" s="25" t="n"/>
      <c r="I36" s="24" t="n"/>
      <c r="J36" s="26" t="n"/>
      <c r="K36" s="94" t="n"/>
      <c r="L36" s="94" t="n"/>
      <c r="M36" s="94" t="n"/>
      <c r="N36" s="94" t="n"/>
      <c r="O36" s="94" t="n"/>
      <c r="P36" s="94" t="n"/>
      <c r="Q36" s="94" t="n"/>
      <c r="R36" s="94" t="n"/>
      <c r="S36" s="94" t="n"/>
      <c r="T36" s="94" t="n"/>
      <c r="U36" s="94" t="n"/>
    </row>
    <row r="37" ht="18" customHeight="1" s="93" thickTop="1">
      <c r="B37" s="20" t="n"/>
      <c r="C37" s="21" t="n"/>
      <c r="D37" s="22" t="n"/>
      <c r="E37" s="22" t="n"/>
      <c r="F37" s="22" t="n"/>
      <c r="G37" s="22" t="n"/>
      <c r="H37" s="22" t="n"/>
      <c r="K37" s="94" t="n"/>
      <c r="L37" s="94" t="n"/>
      <c r="M37" s="94" t="n"/>
      <c r="N37" s="94" t="n"/>
      <c r="O37" s="94" t="n"/>
      <c r="P37" s="94" t="n"/>
      <c r="Q37" s="94" t="n"/>
      <c r="R37" s="94" t="n"/>
      <c r="S37" s="94" t="n"/>
      <c r="T37" s="94" t="n"/>
      <c r="U37" s="94" t="n"/>
    </row>
    <row r="38" ht="18" customHeight="1" s="93">
      <c r="K38" s="94" t="n"/>
      <c r="L38" s="94" t="n"/>
      <c r="M38" s="94" t="n"/>
      <c r="N38" s="94" t="n"/>
      <c r="O38" s="94" t="n"/>
      <c r="P38" s="94" t="n"/>
      <c r="Q38" s="94" t="n"/>
      <c r="R38" s="94" t="n"/>
      <c r="S38" s="94" t="n"/>
      <c r="T38" s="94" t="n"/>
      <c r="U38" s="94" t="n"/>
    </row>
    <row r="39" ht="18" customHeight="1" s="93">
      <c r="B39" s="27" t="n"/>
      <c r="K39" s="94" t="n"/>
      <c r="L39" s="94" t="n"/>
      <c r="M39" s="94" t="n"/>
      <c r="N39" s="94" t="n"/>
      <c r="O39" s="94" t="n"/>
      <c r="P39" s="94" t="n"/>
      <c r="Q39" s="94" t="n"/>
      <c r="R39" s="94" t="n"/>
      <c r="S39" s="94" t="n"/>
      <c r="T39" s="94" t="n"/>
      <c r="U39" s="94" t="n"/>
    </row>
    <row r="40" ht="18" customHeight="1" s="93">
      <c r="B40" s="27" t="n"/>
      <c r="K40" s="94" t="n"/>
      <c r="L40" s="94" t="n"/>
      <c r="M40" s="94" t="n"/>
      <c r="N40" s="94" t="n"/>
      <c r="O40" s="94" t="n"/>
      <c r="P40" s="94" t="n"/>
      <c r="Q40" s="94" t="n"/>
      <c r="R40" s="94" t="n"/>
      <c r="S40" s="94" t="n"/>
      <c r="T40" s="94" t="n"/>
      <c r="U40" s="94" t="n"/>
    </row>
    <row r="41" ht="18" customHeight="1" s="93"/>
    <row r="42" ht="18" customHeight="1" s="93"/>
  </sheetData>
  <mergeCells count="19">
    <mergeCell ref="I15:J15"/>
    <mergeCell ref="H11:J11"/>
    <mergeCell ref="B10:D10"/>
    <mergeCell ref="I16:J16"/>
    <mergeCell ref="H28:J28"/>
    <mergeCell ref="H13:J13"/>
    <mergeCell ref="H27:J27"/>
    <mergeCell ref="I18:J18"/>
    <mergeCell ref="B13:F13"/>
    <mergeCell ref="H5:J5"/>
    <mergeCell ref="A7:J7"/>
    <mergeCell ref="I14:J14"/>
    <mergeCell ref="H26:J26"/>
    <mergeCell ref="C14:E14"/>
    <mergeCell ref="A27:G27"/>
    <mergeCell ref="I19:J19"/>
    <mergeCell ref="A26:G26"/>
    <mergeCell ref="H21:J21"/>
    <mergeCell ref="H6:J6"/>
  </mergeCells>
  <printOptions horizontalCentered="1"/>
  <pageMargins left="0.3149606299212598" right="0.3149606299212598" top="0.3543307086614174" bottom="0.3543307086614174" header="0" footer="0"/>
  <pageSetup orientation="portrait" paperSize="9" scale="85" horizontalDpi="1200" verticalDpi="12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6.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F15" sqref="F15"/>
    </sheetView>
  </sheetViews>
  <sheetFormatPr baseColWidth="8" defaultRowHeight="16.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2016-10-26T07:46:52Z</dcterms:created>
  <dcterms:modified xsi:type="dcterms:W3CDTF">2026-05-07T05:49:50Z</dcterms:modified>
  <cp:lastModifiedBy>usr88</cp:lastModifiedBy>
  <cp:lastPrinted>2026-04-07T08:55:18Z</cp:lastPrinted>
</cp:coreProperties>
</file>