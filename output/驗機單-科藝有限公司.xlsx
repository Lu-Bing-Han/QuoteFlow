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2900" tabRatio="600" firstSheet="0" activeTab="0" autoFilterDateGrouping="1"/>
  </bookViews>
  <sheets>
    <sheet name="工作表1" sheetId="1" state="visible" r:id="rId1"/>
    <sheet name="工作表2" sheetId="2" state="visible" r:id="rId2"/>
    <sheet name="工作表3" sheetId="3" state="visible" r:id="rId3"/>
  </sheets>
  <definedNames>
    <definedName name="_xlnm.Print_Titles" localSheetId="0">'工作表1'!$1:$14</definedName>
    <definedName name="_xlnm.Print_Area" localSheetId="0">'工作表1'!$A$1:$J$45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#,##0_ "/>
    <numFmt numFmtId="166" formatCode="&quot;NT$&quot;#,##0_);[Red]\(&quot;NT$&quot;#,##0\)"/>
  </numFmts>
  <fonts count="1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2"/>
      <u val="single"/>
      <scheme val="minor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theme="1"/>
      <sz val="1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8"/>
    </font>
    <font>
      <name val="微軟正黑體"/>
      <charset val="136"/>
      <family val="2"/>
      <sz val="12"/>
    </font>
    <font>
      <name val="新細明體"/>
      <charset val="136"/>
      <family val="2"/>
      <color rgb="FFFF0000"/>
      <sz val="12"/>
      <scheme val="minor"/>
    </font>
    <font/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theme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theme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theme="1"/>
      </left>
      <right style="medium">
        <color auto="1"/>
      </right>
      <top/>
      <bottom/>
      <diagonal/>
    </border>
    <border/>
    <border>
      <bottom style="thin"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164" fontId="5" fillId="0" borderId="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4" fontId="5" fillId="0" borderId="2" applyAlignment="1" pivotButton="0" quotePrefix="0" xfId="0">
      <alignment horizontal="left" vertical="center" wrapText="1"/>
    </xf>
    <xf numFmtId="164" fontId="15" fillId="0" borderId="5" applyAlignment="1" pivotButton="0" quotePrefix="0" xfId="0">
      <alignment horizontal="right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15" applyAlignment="1" pivotButton="0" quotePrefix="0" xfId="0">
      <alignment vertical="center"/>
    </xf>
    <xf numFmtId="0" fontId="5" fillId="0" borderId="9" applyAlignment="1" pivotButton="0" quotePrefix="0" xfId="0">
      <alignment vertical="top"/>
    </xf>
    <xf numFmtId="0" fontId="5" fillId="0" borderId="7" applyAlignment="1" pivotButton="0" quotePrefix="0" xfId="0">
      <alignment vertical="top"/>
    </xf>
    <xf numFmtId="164" fontId="10" fillId="0" borderId="5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0" applyAlignment="1" pivotButton="0" quotePrefix="0" xfId="0">
      <alignment vertical="top"/>
    </xf>
    <xf numFmtId="164" fontId="15" fillId="0" borderId="0" applyAlignment="1" pivotButton="0" quotePrefix="0" xfId="0">
      <alignment horizontal="center" vertical="center" wrapText="1"/>
    </xf>
    <xf numFmtId="164" fontId="15" fillId="0" borderId="18" applyAlignment="1" pivotButton="0" quotePrefix="0" xfId="0">
      <alignment horizontal="right" vertical="center" wrapText="1"/>
    </xf>
    <xf numFmtId="164" fontId="15" fillId="0" borderId="16" applyAlignment="1" pivotButton="0" quotePrefix="0" xfId="0">
      <alignment horizontal="right" vertical="center" wrapText="1"/>
    </xf>
    <xf numFmtId="0" fontId="16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16" fillId="0" borderId="9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164" fontId="13" fillId="0" borderId="16" applyAlignment="1" pivotButton="0" quotePrefix="0" xfId="0">
      <alignment vertical="top" wrapText="1"/>
    </xf>
    <xf numFmtId="165" fontId="5" fillId="0" borderId="1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164" fontId="13" fillId="0" borderId="6" applyAlignment="1" pivotButton="0" quotePrefix="0" xfId="0">
      <alignment vertical="top" wrapText="1"/>
    </xf>
    <xf numFmtId="0" fontId="5" fillId="0" borderId="18" applyAlignment="1" pivotButton="0" quotePrefix="0" xfId="0">
      <alignment horizontal="center" vertical="center"/>
    </xf>
    <xf numFmtId="0" fontId="5" fillId="0" borderId="0" applyAlignment="1" pivotButton="0" quotePrefix="1" xfId="0">
      <alignment vertical="top"/>
    </xf>
    <xf numFmtId="0" fontId="16" fillId="0" borderId="4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0" fillId="0" borderId="2" applyAlignment="1" pivotButton="0" quotePrefix="0" xfId="0">
      <alignment horizontal="center" vertical="top"/>
    </xf>
    <xf numFmtId="164" fontId="10" fillId="0" borderId="3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center"/>
    </xf>
    <xf numFmtId="164" fontId="15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0" applyAlignment="1" pivotButton="0" quotePrefix="0" xfId="0">
      <alignment horizontal="right" vertical="center"/>
    </xf>
    <xf numFmtId="0" fontId="5" fillId="0" borderId="11" applyAlignment="1" pivotButton="0" quotePrefix="0" xfId="0">
      <alignment horizontal="right" vertical="center"/>
    </xf>
    <xf numFmtId="0" fontId="5" fillId="0" borderId="12" applyAlignment="1" pivotButton="0" quotePrefix="0" xfId="0">
      <alignment horizontal="right" vertical="center"/>
    </xf>
    <xf numFmtId="166" fontId="5" fillId="0" borderId="10" applyAlignment="1" pivotButton="0" quotePrefix="0" xfId="0">
      <alignment horizontal="center" vertical="top"/>
    </xf>
    <xf numFmtId="166" fontId="5" fillId="0" borderId="11" applyAlignment="1" pivotButton="0" quotePrefix="0" xfId="0">
      <alignment horizontal="center" vertical="top"/>
    </xf>
    <xf numFmtId="166" fontId="5" fillId="0" borderId="12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left" vertical="top" wrapText="1"/>
    </xf>
    <xf numFmtId="164" fontId="15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2" applyAlignment="1" pivotButton="0" quotePrefix="0" xfId="0">
      <alignment horizontal="left" vertical="top"/>
    </xf>
    <xf numFmtId="0" fontId="2" fillId="0" borderId="9" applyAlignment="1" pivotButton="0" quotePrefix="0" xfId="1">
      <alignment vertical="center" shrinkToFit="1"/>
    </xf>
    <xf numFmtId="0" fontId="5" fillId="0" borderId="9" applyAlignment="1" pivotButton="0" quotePrefix="0" xfId="0">
      <alignment vertical="center" shrinkToFit="1"/>
    </xf>
    <xf numFmtId="0" fontId="5" fillId="0" borderId="7" applyAlignment="1" pivotButton="0" quotePrefix="0" xfId="0">
      <alignment vertical="center" shrinkToFit="1"/>
    </xf>
    <xf numFmtId="164" fontId="15" fillId="0" borderId="5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2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17" pivotButton="0" quotePrefix="0" xfId="0"/>
    <xf numFmtId="0" fontId="2" fillId="0" borderId="7" applyAlignment="1" pivotButton="0" quotePrefix="0" xfId="1">
      <alignment vertical="center" shrinkToFit="1"/>
    </xf>
    <xf numFmtId="0" fontId="0" fillId="0" borderId="9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165" fontId="5" fillId="0" borderId="13" applyAlignment="1" pivotButton="0" quotePrefix="0" xfId="0">
      <alignment horizontal="center" vertical="center"/>
    </xf>
    <xf numFmtId="164" fontId="15" fillId="0" borderId="18" applyAlignment="1" pivotButton="0" quotePrefix="0" xfId="0">
      <alignment horizontal="center" vertical="center" wrapText="1"/>
    </xf>
    <xf numFmtId="0" fontId="0" fillId="0" borderId="3" pivotButton="0" quotePrefix="0" xfId="0"/>
    <xf numFmtId="164" fontId="17" fillId="0" borderId="20" pivotButton="0" quotePrefix="0" xfId="0"/>
    <xf numFmtId="164" fontId="15" fillId="0" borderId="6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vertical="center"/>
    </xf>
    <xf numFmtId="164" fontId="15" fillId="0" borderId="6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3" fillId="0" borderId="6" applyAlignment="1" pivotButton="0" quotePrefix="0" xfId="0">
      <alignment vertical="top" wrapText="1"/>
    </xf>
    <xf numFmtId="164" fontId="13" fillId="0" borderId="16" applyAlignment="1" pivotButton="0" quotePrefix="0" xfId="0">
      <alignment vertical="top" wrapText="1"/>
    </xf>
    <xf numFmtId="0" fontId="5" fillId="0" borderId="14" applyAlignment="1" pivotButton="0" quotePrefix="0" xfId="0">
      <alignment horizontal="right" vertical="center"/>
    </xf>
    <xf numFmtId="166" fontId="5" fillId="0" borderId="14" applyAlignment="1" pivotButton="0" quotePrefix="0" xfId="0">
      <alignment horizontal="center" vertical="top"/>
    </xf>
    <xf numFmtId="164" fontId="10" fillId="0" borderId="3" applyAlignment="1" pivotButton="0" quotePrefix="0" xfId="0">
      <alignment horizontal="center" vertical="top"/>
    </xf>
    <xf numFmtId="0" fontId="0" fillId="0" borderId="21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66507</colOff>
      <row>0</row>
      <rowOff>19050</rowOff>
    </from>
    <to>
      <col>0</col>
      <colOff>504824</colOff>
      <row>2</row>
      <rowOff>62157</rowOff>
    </to>
    <pic>
      <nvPicPr>
        <cNvPr id="7" name="圖片 6" descr="mark-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6507" y="19050"/>
          <a:ext cx="438317" cy="481257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0</col>
      <colOff>514351</colOff>
      <row>0</row>
      <rowOff>56014</rowOff>
    </from>
    <to>
      <col>1</col>
      <colOff>1085852</colOff>
      <row>3</row>
      <rowOff>57150</rowOff>
    </to>
    <pic>
      <nvPicPr>
        <cNvPr id="8" name="圖片 7" descr="word mark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14351" y="56014"/>
          <a:ext cx="1409701" cy="639311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zoomScale="85" zoomScaleNormal="85" zoomScalePageLayoutView="120" workbookViewId="0">
      <selection activeCell="B22" sqref="B22"/>
    </sheetView>
  </sheetViews>
  <sheetFormatPr baseColWidth="8" defaultRowHeight="15.75"/>
  <cols>
    <col width="11" customWidth="1" style="2" min="1" max="1"/>
    <col width="19.875" customWidth="1" style="2" min="2" max="2"/>
    <col width="6.5" customWidth="1" style="2" min="3" max="3"/>
    <col width="15" customWidth="1" style="2" min="4" max="4"/>
    <col width="20" customWidth="1" style="2" min="5" max="5"/>
    <col width="5.5" customWidth="1" style="2" min="6" max="6"/>
    <col width="10.75" customWidth="1" style="2" min="7" max="7"/>
    <col width="12.625" customWidth="1" style="2" min="8" max="8"/>
    <col width="8.125" customWidth="1" style="2" min="9" max="9"/>
    <col width="4.875" customWidth="1" style="2" min="10" max="10"/>
    <col width="0.125" customWidth="1" style="2" min="11" max="11"/>
    <col width="9" customWidth="1" style="2" min="12" max="16384"/>
  </cols>
  <sheetData>
    <row r="1" ht="18.75" customHeight="1" s="93">
      <c r="A1" s="1" t="inlineStr">
        <is>
          <t>                             </t>
        </is>
      </c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</row>
    <row r="2">
      <c r="K2" s="94" t="n"/>
      <c r="L2" s="94" t="n"/>
      <c r="M2" s="94" t="n"/>
      <c r="N2" s="94" t="n"/>
      <c r="O2" s="94" t="n"/>
      <c r="P2" s="94" t="n"/>
      <c r="Q2" s="94" t="n"/>
      <c r="R2" s="94" t="n"/>
      <c r="S2" s="94" t="n"/>
      <c r="T2" s="94" t="n"/>
      <c r="U2" s="94" t="n"/>
    </row>
    <row r="3"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</row>
    <row r="4" ht="12.75" customHeight="1" s="93"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</row>
    <row r="5">
      <c r="A5" s="30" t="inlineStr">
        <is>
          <t xml:space="preserve">台中市北屯區景南巷1-1號                                                                                    </t>
        </is>
      </c>
      <c r="B5" s="3" t="n"/>
      <c r="C5" s="3" t="n"/>
      <c r="D5" s="3" t="n"/>
      <c r="E5" s="3" t="n"/>
      <c r="F5" s="3" t="n"/>
      <c r="G5" s="3" t="n"/>
      <c r="H5" s="66" t="inlineStr">
        <is>
          <t>TEL：+886-4-2435-0381</t>
        </is>
      </c>
      <c r="K5" s="94" t="n"/>
      <c r="L5" s="94" t="n"/>
      <c r="M5" s="94" t="n"/>
      <c r="N5" s="94" t="n"/>
      <c r="O5" s="94" t="n"/>
      <c r="P5" s="94" t="n"/>
      <c r="Q5" s="94" t="n"/>
      <c r="R5" s="94" t="n"/>
      <c r="S5" s="94" t="n"/>
      <c r="T5" s="94" t="n"/>
      <c r="U5" s="94" t="n"/>
    </row>
    <row r="6">
      <c r="A6" s="66" t="inlineStr">
        <is>
          <t xml:space="preserve">No. 1-1, Jingnan Ln., Beitun Dist., Taichung City 406, Taiwan (R.O.C.)         </t>
        </is>
      </c>
      <c r="B6" s="4" t="n"/>
      <c r="C6" s="4" t="n"/>
      <c r="D6" s="4" t="n"/>
      <c r="E6" s="4" t="n"/>
      <c r="F6" s="4" t="n"/>
      <c r="G6" s="4" t="n"/>
      <c r="H6" s="66" t="inlineStr">
        <is>
          <t>FAX：+886-4-2327-5352</t>
        </is>
      </c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</row>
    <row r="7" ht="20.25" customHeight="1" s="93">
      <c r="A7" s="77" t="inlineStr">
        <is>
          <t>驗 機 單</t>
        </is>
      </c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</row>
    <row r="8" ht="20.25" customHeight="1" s="93">
      <c r="A8" s="77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</row>
    <row r="9" ht="18" customHeight="1" s="93" thickBot="1">
      <c r="A9" s="5" t="inlineStr">
        <is>
          <t xml:space="preserve">驗機單號 ：    </t>
        </is>
      </c>
      <c r="B9" s="5" t="inlineStr">
        <is>
          <t>CH1150407002</t>
        </is>
      </c>
      <c r="D9" s="2" t="inlineStr">
        <is>
          <t xml:space="preserve">報價日期：   </t>
        </is>
      </c>
      <c r="E9" s="6" t="n">
        <v>46119</v>
      </c>
      <c r="G9" s="5" t="inlineStr">
        <is>
          <t xml:space="preserve"> 幣        別：</t>
        </is>
      </c>
      <c r="H9" s="2" t="inlineStr">
        <is>
          <t xml:space="preserve">TWD       </t>
        </is>
      </c>
      <c r="I9" s="7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</row>
    <row r="10" ht="18" customHeight="1" s="93" thickTop="1">
      <c r="A10" s="31" t="inlineStr">
        <is>
          <t>客戶全名：</t>
        </is>
      </c>
      <c r="B10" s="86" t="inlineStr">
        <is>
          <t>科藝有限公司</t>
        </is>
      </c>
      <c r="C10" s="95" t="n"/>
      <c r="D10" s="95" t="n"/>
      <c r="E10" s="8" t="n"/>
      <c r="F10" s="8" t="n"/>
      <c r="G10" s="8" t="inlineStr">
        <is>
          <t xml:space="preserve"> 有效日期：</t>
        </is>
      </c>
      <c r="H10" s="32">
        <f>E9+15</f>
        <v/>
      </c>
      <c r="I10" s="8" t="n"/>
      <c r="J10" s="9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</row>
    <row r="11" ht="18" customHeight="1" s="93">
      <c r="A11" s="44" t="inlineStr">
        <is>
          <t>電       話：</t>
        </is>
      </c>
      <c r="B11" s="61" t="n"/>
      <c r="C11" s="46" t="n"/>
      <c r="G11" s="2" t="inlineStr">
        <is>
          <t xml:space="preserve"> 傳       真：</t>
        </is>
      </c>
      <c r="H11" s="85" t="n"/>
      <c r="J11" s="96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</row>
    <row r="12" ht="18" customHeight="1" s="93">
      <c r="A12" s="44" t="inlineStr">
        <is>
          <t>聯 絡 人 ：</t>
        </is>
      </c>
      <c r="B12" s="2" t="n"/>
      <c r="G12" s="2" t="inlineStr">
        <is>
          <t xml:space="preserve"> 統一編號：</t>
        </is>
      </c>
      <c r="H12" s="5" t="n"/>
      <c r="J12" s="10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</row>
    <row r="13" ht="18" customHeight="1" s="93" thickBot="1">
      <c r="A13" s="45" t="inlineStr">
        <is>
          <t>聯絡地址：</t>
        </is>
      </c>
      <c r="B13" s="81" t="n"/>
      <c r="C13" s="97" t="n"/>
      <c r="D13" s="97" t="n"/>
      <c r="E13" s="97" t="n"/>
      <c r="F13" s="97" t="n"/>
      <c r="G13" s="24" t="inlineStr">
        <is>
          <t xml:space="preserve">  E-MAIL  :</t>
        </is>
      </c>
      <c r="H13" s="98" t="n"/>
      <c r="I13" s="99" t="n"/>
      <c r="J13" s="100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</row>
    <row r="14" ht="18" customHeight="1" s="93" thickBot="1" thickTop="1">
      <c r="A14" s="78" t="inlineStr">
        <is>
          <t>序</t>
        </is>
      </c>
      <c r="B14" s="78" t="inlineStr">
        <is>
          <t>品號</t>
        </is>
      </c>
      <c r="C14" s="78" t="inlineStr">
        <is>
          <t>品名 / 規格</t>
        </is>
      </c>
      <c r="D14" s="101" t="n"/>
      <c r="E14" s="102" t="n"/>
      <c r="F14" s="79" t="inlineStr">
        <is>
          <t>數量</t>
        </is>
      </c>
      <c r="G14" s="78" t="inlineStr">
        <is>
          <t>單位</t>
        </is>
      </c>
      <c r="H14" s="80" t="inlineStr">
        <is>
          <t>單  價</t>
        </is>
      </c>
      <c r="I14" s="78" t="inlineStr">
        <is>
          <t>小計</t>
        </is>
      </c>
      <c r="J14" s="102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</row>
    <row r="15" ht="18" customHeight="1" s="93" thickBot="1" thickTop="1">
      <c r="A15" s="11" t="n">
        <v>1</v>
      </c>
      <c r="B15" s="60" t="inlineStr">
        <is>
          <t>拖板車維修</t>
        </is>
      </c>
      <c r="C15" s="2" t="inlineStr">
        <is>
          <t>他牌油壓拖板車維修</t>
        </is>
      </c>
      <c r="E15" s="35" t="n"/>
      <c r="F15" s="19" t="n">
        <v>1</v>
      </c>
      <c r="G15" s="11" t="inlineStr">
        <is>
          <t>式</t>
        </is>
      </c>
      <c r="H15" s="103" t="n"/>
      <c r="I15" s="104">
        <f>F15*H15</f>
        <v/>
      </c>
      <c r="J15" s="105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</row>
    <row r="16" ht="18" customHeight="1" s="93" thickTop="1">
      <c r="A16" s="11" t="n"/>
      <c r="B16" s="11" t="n"/>
      <c r="C16" s="2" t="inlineStr">
        <is>
          <t>更換油封組/更換作動油/油路清洗</t>
        </is>
      </c>
      <c r="E16" s="10" t="n"/>
      <c r="F16" s="14" t="n"/>
      <c r="G16" s="14" t="n"/>
      <c r="H16" s="14" t="n"/>
      <c r="I16" s="11" t="n"/>
      <c r="J16" s="96" t="n"/>
      <c r="K16" s="106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106" t="n"/>
    </row>
    <row r="17" ht="18" customHeight="1" s="93" thickBot="1">
      <c r="A17" s="11" t="n"/>
      <c r="B17" s="14" t="n"/>
      <c r="C17" s="17" t="n"/>
      <c r="E17" s="10" t="n"/>
      <c r="F17" s="11" t="n"/>
      <c r="G17" s="11" t="n"/>
      <c r="H17" s="51" t="n"/>
      <c r="I17" s="62" t="n"/>
      <c r="J17" s="50" t="n"/>
      <c r="K17" s="106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</row>
    <row r="18" ht="18" customHeight="1" s="93" thickTop="1">
      <c r="A18" s="11" t="n">
        <v>2</v>
      </c>
      <c r="B18" s="11" t="inlineStr">
        <is>
          <t>AP-15W維修</t>
        </is>
      </c>
      <c r="C18" s="2" t="inlineStr">
        <is>
          <t>AP-15W踏舉式油壓升降台車(雙叉式)維修</t>
        </is>
      </c>
      <c r="E18" s="10" t="n"/>
      <c r="F18" s="19" t="n">
        <v>1</v>
      </c>
      <c r="G18" s="11" t="inlineStr">
        <is>
          <t>式</t>
        </is>
      </c>
      <c r="H18" s="103" t="n"/>
      <c r="I18" s="107">
        <f>F18*H18</f>
        <v/>
      </c>
      <c r="J18" s="96" t="n"/>
      <c r="K18" s="106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</row>
    <row r="19" ht="18" customHeight="1" s="93">
      <c r="A19" s="11" t="n"/>
      <c r="B19" s="11" t="inlineStr">
        <is>
          <t>(序號:T0000515)</t>
        </is>
      </c>
      <c r="C19" s="2" t="inlineStr">
        <is>
          <t>更換油封組/更換作動油/油路清洗</t>
        </is>
      </c>
      <c r="E19" s="10" t="n"/>
      <c r="F19" s="14" t="n"/>
      <c r="G19" s="14" t="n"/>
      <c r="H19" s="14" t="n"/>
      <c r="I19" s="11" t="n"/>
      <c r="J19" s="96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</row>
    <row r="20" ht="18" customHeight="1" s="93">
      <c r="A20" s="11" t="n"/>
      <c r="B20" s="69" t="n"/>
      <c r="C20" s="17" t="n"/>
      <c r="E20" s="10" t="n"/>
      <c r="F20" s="17" t="n"/>
      <c r="G20" s="14" t="n"/>
      <c r="H20" s="108" t="n"/>
      <c r="I20" s="109" t="n"/>
      <c r="J20" s="13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</row>
    <row r="21" ht="18" customHeight="1" s="93">
      <c r="A21" s="11" t="n">
        <v>3</v>
      </c>
      <c r="B21" s="11" t="inlineStr">
        <is>
          <t>AP-30維修</t>
        </is>
      </c>
      <c r="C21" s="2" t="inlineStr">
        <is>
          <t>AP-30踏舉式油壓升降台車維修</t>
        </is>
      </c>
      <c r="E21" s="10" t="n"/>
      <c r="F21" s="19" t="n">
        <v>1</v>
      </c>
      <c r="G21" s="11" t="inlineStr">
        <is>
          <t>式</t>
        </is>
      </c>
      <c r="H21" s="110" t="inlineStr">
        <is>
          <t>保固內</t>
        </is>
      </c>
      <c r="J21" s="96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</row>
    <row r="22" ht="18" customHeight="1" s="93">
      <c r="A22" s="11" t="n"/>
      <c r="B22" s="11" t="inlineStr">
        <is>
          <t>(序號:33150676)</t>
        </is>
      </c>
      <c r="E22" s="10" t="n"/>
      <c r="G22" s="14" t="n"/>
      <c r="H22" s="108" t="n"/>
      <c r="I22" s="111" t="n"/>
      <c r="J22" s="13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</row>
    <row r="23" ht="18" customHeight="1" s="93">
      <c r="A23" s="11" t="n"/>
      <c r="B23" s="11" t="n"/>
      <c r="E23" s="10" t="n"/>
      <c r="G23" s="14" t="n"/>
      <c r="H23" s="108" t="n"/>
      <c r="I23" s="111" t="n"/>
      <c r="J23" s="13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</row>
    <row r="24" ht="18" customHeight="1" s="93">
      <c r="A24" s="11" t="n"/>
      <c r="B24" s="11" t="n"/>
      <c r="C24" s="27" t="inlineStr">
        <is>
          <t>以上報價含運費及工資</t>
        </is>
      </c>
      <c r="E24" s="10" t="n"/>
      <c r="F24" s="52" t="n"/>
      <c r="G24" s="11" t="n"/>
      <c r="H24" s="112" t="n"/>
      <c r="I24" s="57" t="n"/>
      <c r="J24" s="58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</row>
    <row r="25" ht="18" customHeight="1" s="93" thickBot="1">
      <c r="A25" s="40" t="n"/>
      <c r="B25" s="69" t="n"/>
      <c r="C25" s="23" t="n"/>
      <c r="D25" s="36" t="n"/>
      <c r="E25" s="37" t="n"/>
      <c r="F25" s="43" t="n"/>
      <c r="G25" s="40" t="n"/>
      <c r="H25" s="113" t="n"/>
      <c r="I25" s="53" t="n"/>
      <c r="J25" s="5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</row>
    <row r="26" ht="18" customHeight="1" s="93" thickBot="1" thickTop="1">
      <c r="A26" s="114" t="inlineStr">
        <is>
          <t>營業稅</t>
        </is>
      </c>
      <c r="B26" s="101" t="n"/>
      <c r="C26" s="101" t="n"/>
      <c r="D26" s="101" t="n"/>
      <c r="E26" s="101" t="n"/>
      <c r="F26" s="101" t="n"/>
      <c r="G26" s="102" t="n"/>
      <c r="H26" s="115">
        <f>SUM(I15:J20)*0.05</f>
        <v/>
      </c>
      <c r="I26" s="101" t="n"/>
      <c r="J26" s="102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</row>
    <row r="27" ht="18" customHeight="1" s="93" thickBot="1" thickTop="1">
      <c r="A27" s="114" t="inlineStr">
        <is>
          <t>應收總金額</t>
        </is>
      </c>
      <c r="B27" s="101" t="n"/>
      <c r="C27" s="101" t="n"/>
      <c r="D27" s="101" t="n"/>
      <c r="E27" s="101" t="n"/>
      <c r="F27" s="101" t="n"/>
      <c r="G27" s="102" t="n"/>
      <c r="H27" s="115">
        <f>SUM(I15:K25)*1.05</f>
        <v/>
      </c>
      <c r="I27" s="101" t="n"/>
      <c r="J27" s="102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</row>
    <row r="28" ht="18" customHeight="1" s="93" thickTop="1">
      <c r="A28" s="15" t="inlineStr">
        <is>
          <t>備註:</t>
        </is>
      </c>
      <c r="B28" s="2" t="inlineStr">
        <is>
          <t>1.確定訂單內容後請簽章並回傳</t>
        </is>
      </c>
      <c r="C28" s="8" t="n"/>
      <c r="D28" s="8" t="n"/>
      <c r="E28" s="8" t="n"/>
      <c r="F28" s="8" t="n"/>
      <c r="G28" s="8" t="n"/>
      <c r="H28" s="116" t="n"/>
      <c r="I28" s="95" t="n"/>
      <c r="J28" s="105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</row>
    <row r="29" ht="18" customHeight="1" s="93">
      <c r="A29" s="16" t="n"/>
      <c r="B29" s="2" t="inlineStr">
        <is>
          <t>2.以上交易價格含營業稅</t>
        </is>
      </c>
      <c r="J29" s="10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</row>
    <row r="30" ht="18" customHeight="1" s="93">
      <c r="A30" s="17" t="n"/>
      <c r="B30" s="2" t="inlineStr">
        <is>
          <t>3.付款方式：請先匯款至</t>
        </is>
      </c>
      <c r="F30" s="18" t="n"/>
      <c r="G30" s="18" t="n"/>
      <c r="H30" s="19" t="inlineStr">
        <is>
          <t>訂購請簽章回傳</t>
        </is>
      </c>
      <c r="J30" s="10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</row>
    <row r="31" ht="18" customHeight="1" s="93">
      <c r="A31" s="17" t="n"/>
      <c r="B31" s="7" t="inlineStr">
        <is>
          <t>戶名：</t>
        </is>
      </c>
      <c r="C31" s="2" t="inlineStr">
        <is>
          <t>立善科技有限公司</t>
        </is>
      </c>
      <c r="E31" s="18" t="n"/>
      <c r="J31" s="10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</row>
    <row r="32" ht="18" customHeight="1" s="93">
      <c r="A32" s="17" t="n"/>
      <c r="B32" s="7" t="inlineStr">
        <is>
          <t>銀行：</t>
        </is>
      </c>
      <c r="C32" s="2" t="inlineStr">
        <is>
          <t>「華南銀行 台中港路分行」</t>
        </is>
      </c>
      <c r="J32" s="10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</row>
    <row r="33" ht="18" customHeight="1" s="93">
      <c r="A33" s="17" t="n"/>
      <c r="B33" s="20" t="inlineStr">
        <is>
          <t>帳號：</t>
        </is>
      </c>
      <c r="C33" s="21" t="inlineStr">
        <is>
          <t>424-10-004051-9</t>
        </is>
      </c>
      <c r="D33" s="22" t="n"/>
      <c r="J33" s="10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</row>
    <row r="34" ht="18" customHeight="1" s="93">
      <c r="A34" s="17" t="n"/>
      <c r="H34" s="117" t="n"/>
      <c r="J34" s="10" t="n"/>
      <c r="K34" s="94" t="n"/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</row>
    <row r="35" ht="18" customHeight="1" s="93">
      <c r="A35" s="17" t="n"/>
      <c r="B35" s="20" t="n"/>
      <c r="C35" s="21" t="n"/>
      <c r="D35" s="22" t="n"/>
      <c r="J35" s="10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</row>
    <row r="36" ht="18" customHeight="1" s="93" thickBot="1">
      <c r="A36" s="23" t="inlineStr">
        <is>
          <t>製表人：黃中宥</t>
        </is>
      </c>
      <c r="B36" s="24" t="n"/>
      <c r="C36" s="24" t="n"/>
      <c r="D36" s="24" t="n"/>
      <c r="E36" s="25" t="n"/>
      <c r="F36" s="25" t="n"/>
      <c r="G36" s="25" t="n"/>
      <c r="H36" s="25" t="n"/>
      <c r="I36" s="24" t="n"/>
      <c r="J36" s="26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</row>
    <row r="37" ht="18" customHeight="1" s="93" thickTop="1">
      <c r="B37" s="20" t="n"/>
      <c r="C37" s="21" t="n"/>
      <c r="D37" s="22" t="n"/>
      <c r="E37" s="22" t="n"/>
      <c r="F37" s="22" t="n"/>
      <c r="G37" s="22" t="n"/>
      <c r="H37" s="22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</row>
    <row r="38" ht="18" customHeight="1" s="93"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</row>
    <row r="39" ht="18" customHeight="1" s="93">
      <c r="B39" s="27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</row>
    <row r="40" ht="18" customHeight="1" s="93">
      <c r="B40" s="27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</row>
    <row r="41" ht="18" customHeight="1" s="93"/>
    <row r="42" ht="18" customHeight="1" s="93"/>
  </sheetData>
  <mergeCells count="19">
    <mergeCell ref="I15:J15"/>
    <mergeCell ref="H11:J11"/>
    <mergeCell ref="B10:D10"/>
    <mergeCell ref="I16:J16"/>
    <mergeCell ref="H28:J28"/>
    <mergeCell ref="H13:J13"/>
    <mergeCell ref="H27:J27"/>
    <mergeCell ref="I18:J18"/>
    <mergeCell ref="B13:F13"/>
    <mergeCell ref="H5:J5"/>
    <mergeCell ref="A7:J7"/>
    <mergeCell ref="I14:J14"/>
    <mergeCell ref="H26:J26"/>
    <mergeCell ref="C14:E14"/>
    <mergeCell ref="A27:G27"/>
    <mergeCell ref="I19:J19"/>
    <mergeCell ref="A26:G26"/>
    <mergeCell ref="H21:J21"/>
    <mergeCell ref="H6:J6"/>
  </mergeCells>
  <printOptions horizontalCentered="1"/>
  <pageMargins left="0.3149606299212598" right="0.3149606299212598" top="0.3543307086614174" bottom="0.3543307086614174" header="0" footer="0"/>
  <pageSetup orientation="portrait" paperSize="9" scale="85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5" sqref="F15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2016-10-26T07:46:52Z</dcterms:created>
  <dcterms:modified xsi:type="dcterms:W3CDTF">2026-05-07T00:46:26Z</dcterms:modified>
  <cp:lastModifiedBy>usr88</cp:lastModifiedBy>
  <cp:lastPrinted>2026-04-07T08:55:18Z</cp:lastPrinted>
</cp:coreProperties>
</file>