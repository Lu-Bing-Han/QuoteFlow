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工作表1" sheetId="1" state="visible" r:id="rId1"/>
    <sheet name="工作表2" sheetId="2" state="visible" r:id="rId2"/>
    <sheet name="工作表3" sheetId="3" state="visible" r:id="rId3"/>
  </sheets>
  <definedNames>
    <definedName name="_xlnm.Print_Titles" localSheetId="0">'工作表1'!$1:$15</definedName>
    <definedName name="_xlnm.Print_Area" localSheetId="0">'工作表1'!$A$1:$J$36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&quot;NT$&quot;#,##0;[Red]&quot;NT$&quot;#,##0"/>
  </numFmts>
  <fonts count="27">
    <font>
      <name val="新細明體"/>
      <charset val="136"/>
      <family val="2"/>
      <color theme="1"/>
      <sz val="12"/>
      <scheme val="minor"/>
    </font>
    <font>
      <name val="Times New Roman"/>
      <family val="1"/>
      <color theme="1"/>
      <sz val="12"/>
    </font>
    <font>
      <name val="新細明體"/>
      <charset val="136"/>
      <family val="1"/>
      <b val="1"/>
      <color theme="1"/>
      <sz val="14"/>
    </font>
    <font>
      <name val="新細明體"/>
      <charset val="136"/>
      <family val="1"/>
      <color theme="1"/>
      <sz val="14"/>
    </font>
    <font>
      <name val="新細明體"/>
      <charset val="136"/>
      <family val="1"/>
      <color theme="1"/>
      <sz val="12"/>
    </font>
    <font>
      <name val="新細明體"/>
      <charset val="136"/>
      <family val="1"/>
      <color theme="1"/>
      <sz val="11"/>
    </font>
    <font>
      <name val="Times New Roman"/>
      <family val="1"/>
      <color theme="1"/>
      <sz val="10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16"/>
    </font>
    <font>
      <name val="Times New Roman"/>
      <family val="1"/>
      <b val="1"/>
      <color theme="1"/>
      <sz val="16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1"/>
      <color rgb="FF000000"/>
      <sz val="12"/>
      <scheme val="minor"/>
    </font>
    <font>
      <name val="新細明體"/>
      <charset val="136"/>
      <family val="1"/>
      <b val="1"/>
      <color rgb="FF00000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1"/>
      <color rgb="FFFF0000"/>
      <sz val="12"/>
      <scheme val="minor"/>
    </font>
    <font>
      <name val="PMingLiU"/>
      <charset val="136"/>
      <family val="1"/>
      <sz val="10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2"/>
      <u val="single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color rgb="FF000000"/>
      <sz val="11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1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1"/>
      </left>
      <right style="medium">
        <color indexed="64"/>
      </right>
      <top style="medium">
        <color theme="1"/>
      </top>
      <bottom/>
      <diagonal/>
    </border>
    <border>
      <left style="thick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ck">
        <color theme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bottom style="thin"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6" fillId="0" borderId="0"/>
  </cellStyleXfs>
  <cellXfs count="13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14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7" fillId="0" borderId="8" applyAlignment="1" pivotButton="0" quotePrefix="0" xfId="0">
      <alignment horizontal="left" vertical="center"/>
    </xf>
    <xf numFmtId="0" fontId="17" fillId="0" borderId="9" applyAlignment="1" pivotButton="0" quotePrefix="0" xfId="0">
      <alignment horizontal="center" vertical="center"/>
    </xf>
    <xf numFmtId="14" fontId="17" fillId="0" borderId="9" applyAlignment="1" pivotButton="0" quotePrefix="0" xfId="0">
      <alignment horizontal="left" vertical="center" wrapText="1"/>
    </xf>
    <xf numFmtId="0" fontId="17" fillId="0" borderId="9" applyAlignment="1" pivotButton="0" quotePrefix="0" xfId="0">
      <alignment vertical="center"/>
    </xf>
    <xf numFmtId="0" fontId="17" fillId="0" borderId="10" applyAlignment="1" pivotButton="0" quotePrefix="0" xfId="0">
      <alignment vertical="center"/>
    </xf>
    <xf numFmtId="0" fontId="17" fillId="0" borderId="11" applyAlignment="1" pivotButton="0" quotePrefix="0" xfId="0">
      <alignment vertical="center"/>
    </xf>
    <xf numFmtId="0" fontId="17" fillId="0" borderId="0" applyAlignment="1" pivotButton="0" quotePrefix="0" xfId="0">
      <alignment vertical="top"/>
    </xf>
    <xf numFmtId="0" fontId="17" fillId="0" borderId="12" applyAlignment="1" pivotButton="0" quotePrefix="0" xfId="0">
      <alignment vertical="center"/>
    </xf>
    <xf numFmtId="0" fontId="17" fillId="0" borderId="18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3" fontId="18" fillId="0" borderId="1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8" fillId="0" borderId="6" applyAlignment="1" pivotButton="0" quotePrefix="0" xfId="0">
      <alignment vertical="center"/>
    </xf>
    <xf numFmtId="0" fontId="17" fillId="0" borderId="7" applyAlignment="1" pivotButton="0" quotePrefix="0" xfId="0">
      <alignment vertical="top"/>
    </xf>
    <xf numFmtId="0" fontId="17" fillId="0" borderId="12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7" fillId="0" borderId="11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19" applyAlignment="1" pivotButton="0" quotePrefix="0" xfId="0">
      <alignment vertical="top"/>
    </xf>
    <xf numFmtId="0" fontId="17" fillId="0" borderId="22" applyAlignment="1" pivotButton="0" quotePrefix="0" xfId="0">
      <alignment horizontal="center" vertical="center"/>
    </xf>
    <xf numFmtId="0" fontId="20" fillId="0" borderId="19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0" fillId="0" borderId="19" applyAlignment="1" pivotButton="0" quotePrefix="0" xfId="0">
      <alignment horizontal="center" vertical="center"/>
    </xf>
    <xf numFmtId="164" fontId="17" fillId="0" borderId="21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164" fontId="17" fillId="0" borderId="6" applyAlignment="1" pivotButton="0" quotePrefix="0" xfId="0">
      <alignment horizontal="center" vertical="center"/>
    </xf>
    <xf numFmtId="0" fontId="17" fillId="0" borderId="0" applyAlignment="1" pivotButton="0" quotePrefix="1" xfId="0">
      <alignment vertical="top"/>
    </xf>
    <xf numFmtId="0" fontId="17" fillId="0" borderId="11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0" fontId="17" fillId="0" borderId="14" applyAlignment="1" pivotButton="0" quotePrefix="0" xfId="0">
      <alignment vertical="center"/>
    </xf>
    <xf numFmtId="0" fontId="24" fillId="0" borderId="14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1" fillId="0" borderId="0" applyAlignment="1" pivotButton="0" quotePrefix="0" xfId="1">
      <alignment vertical="center"/>
    </xf>
    <xf numFmtId="0" fontId="25" fillId="0" borderId="21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49" fontId="17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top" wrapText="1"/>
    </xf>
    <xf numFmtId="164" fontId="25" fillId="0" borderId="6" applyAlignment="1" pivotButton="0" quotePrefix="0" xfId="0">
      <alignment horizontal="center" vertical="center"/>
    </xf>
    <xf numFmtId="164" fontId="25" fillId="0" borderId="12" applyAlignment="1" pivotButton="0" quotePrefix="0" xfId="0">
      <alignment horizontal="center" vertical="center"/>
    </xf>
    <xf numFmtId="0" fontId="17" fillId="0" borderId="13" applyAlignment="1" pivotButton="0" quotePrefix="0" xfId="0">
      <alignment horizontal="left" vertical="center"/>
    </xf>
    <xf numFmtId="0" fontId="17" fillId="0" borderId="14" applyAlignment="1" pivotButton="0" quotePrefix="0" xfId="0">
      <alignment horizontal="left" vertical="center"/>
    </xf>
    <xf numFmtId="0" fontId="17" fillId="0" borderId="3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165" fontId="18" fillId="0" borderId="1" applyAlignment="1" pivotButton="0" quotePrefix="0" xfId="0">
      <alignment horizontal="center" vertical="top"/>
    </xf>
    <xf numFmtId="165" fontId="18" fillId="0" borderId="4" applyAlignment="1" pivotButton="0" quotePrefix="0" xfId="0">
      <alignment horizontal="center" vertical="top"/>
    </xf>
    <xf numFmtId="165" fontId="19" fillId="0" borderId="1" applyAlignment="1" pivotButton="0" quotePrefix="0" xfId="0">
      <alignment horizontal="center" vertical="top" wrapText="1"/>
    </xf>
    <xf numFmtId="165" fontId="19" fillId="0" borderId="4" applyAlignment="1" pivotButton="0" quotePrefix="0" xfId="0">
      <alignment horizontal="center" vertical="top" wrapText="1"/>
    </xf>
    <xf numFmtId="164" fontId="17" fillId="0" borderId="21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17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vertical="top" wrapText="1"/>
    </xf>
    <xf numFmtId="0" fontId="26" fillId="0" borderId="12" applyAlignment="1" pivotButton="0" quotePrefix="0" xfId="0">
      <alignment vertical="top" wrapText="1"/>
    </xf>
    <xf numFmtId="0" fontId="17" fillId="0" borderId="9" applyAlignment="1" pivotButton="0" quotePrefix="0" xfId="0">
      <alignment horizontal="left" vertical="top" wrapText="1"/>
    </xf>
    <xf numFmtId="164" fontId="25" fillId="0" borderId="29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 wrapText="1"/>
    </xf>
    <xf numFmtId="164" fontId="23" fillId="0" borderId="30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 wrapText="1"/>
    </xf>
    <xf numFmtId="164" fontId="17" fillId="0" borderId="30" applyAlignment="1" pivotButton="0" quotePrefix="0" xfId="0">
      <alignment horizontal="center" vertical="center" wrapText="1"/>
    </xf>
    <xf numFmtId="164" fontId="17" fillId="0" borderId="3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0" fontId="17" fillId="0" borderId="31" applyAlignment="1" pivotButton="0" quotePrefix="0" xfId="0">
      <alignment horizontal="center" vertical="center" wrapText="1"/>
    </xf>
    <xf numFmtId="0" fontId="17" fillId="0" borderId="3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7" pivotButton="0" quotePrefix="0" xfId="0"/>
    <xf numFmtId="0" fontId="17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164" fontId="23" fillId="0" borderId="30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164" fontId="17" fillId="0" borderId="21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 wrapText="1"/>
    </xf>
    <xf numFmtId="164" fontId="17" fillId="0" borderId="30" applyAlignment="1" pivotButton="0" quotePrefix="0" xfId="0">
      <alignment horizontal="center" vertical="center" wrapText="1"/>
    </xf>
    <xf numFmtId="164" fontId="17" fillId="0" borderId="3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/>
    </xf>
    <xf numFmtId="164" fontId="17" fillId="0" borderId="6" applyAlignment="1" pivotButton="0" quotePrefix="0" xfId="0">
      <alignment horizontal="center" vertical="center"/>
    </xf>
    <xf numFmtId="164" fontId="25" fillId="0" borderId="6" applyAlignment="1" pivotButton="0" quotePrefix="0" xfId="0">
      <alignment horizontal="center" vertical="center"/>
    </xf>
    <xf numFmtId="164" fontId="25" fillId="0" borderId="29" applyAlignment="1" pivotButton="0" quotePrefix="0" xfId="0">
      <alignment horizontal="center" vertical="center"/>
    </xf>
    <xf numFmtId="164" fontId="25" fillId="0" borderId="12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40" pivotButton="0" quotePrefix="0" xfId="0"/>
    <xf numFmtId="165" fontId="18" fillId="0" borderId="1" applyAlignment="1" pivotButton="0" quotePrefix="0" xfId="0">
      <alignment horizontal="center" vertical="top"/>
    </xf>
    <xf numFmtId="165" fontId="19" fillId="0" borderId="1" applyAlignment="1" pivotButton="0" quotePrefix="0" xfId="0">
      <alignment horizontal="center" vertical="top" wrapText="1"/>
    </xf>
    <xf numFmtId="0" fontId="17" fillId="0" borderId="41" applyAlignment="1" pivotButton="0" quotePrefix="0" xfId="0">
      <alignment vertical="center"/>
    </xf>
    <xf numFmtId="0" fontId="0" fillId="0" borderId="14" pivotButton="0" quotePrefix="0" xfId="0"/>
  </cellXfs>
  <cellStyles count="3">
    <cellStyle name="一般" xfId="0" builtinId="0"/>
    <cellStyle name="超連結" xfId="1" builtinId="8"/>
    <cellStyle name="一般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59531</rowOff>
    </from>
    <to>
      <col>0</col>
      <colOff>445417</colOff>
      <row>2</row>
      <rowOff>57559</rowOff>
    </to>
    <pic>
      <nvPicPr>
        <cNvPr id="14" name="圖片 13" descr="mark-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59531"/>
          <a:ext cx="445417" cy="444512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0</col>
      <colOff>441721</colOff>
      <row>0</row>
      <rowOff>49609</rowOff>
    </from>
    <to>
      <col>2</col>
      <colOff>381000</colOff>
      <row>3</row>
      <rowOff>78185</rowOff>
    </to>
    <pic>
      <nvPicPr>
        <cNvPr id="15" name="圖片 14" descr="word mark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41721" y="49609"/>
          <a:ext cx="1907779" cy="69532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t07@mail.pulian.com.tw" TargetMode="External" Id="rId1" /><Relationship Type="http://schemas.openxmlformats.org/officeDocument/2006/relationships/hyperlink" Target="mailto:pulian@ms22.hinet.net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tabSelected="1" topLeftCell="A2" zoomScale="70" zoomScaleNormal="70" zoomScaleSheetLayoutView="85" zoomScalePageLayoutView="60" workbookViewId="0">
      <selection activeCell="AE43" sqref="A1:AE43"/>
    </sheetView>
  </sheetViews>
  <sheetFormatPr baseColWidth="8" defaultRowHeight="16.2"/>
  <cols>
    <col width="10.77734375" customWidth="1" style="106" min="1" max="1"/>
    <col width="19.77734375" customWidth="1" style="106" min="2" max="2"/>
    <col width="6.109375" customWidth="1" style="106" min="3" max="3"/>
    <col width="10.109375" customWidth="1" style="106" min="4" max="4"/>
    <col width="23.6640625" customWidth="1" style="106" min="5" max="5"/>
    <col width="5.44140625" customWidth="1" style="12" min="6" max="6"/>
    <col width="12.77734375" customWidth="1" style="12" min="7" max="7"/>
    <col width="17.44140625" customWidth="1" style="106" min="8" max="8"/>
    <col width="9.77734375" customWidth="1" style="106" min="9" max="9"/>
    <col width="6.6640625" customWidth="1" style="106" min="10" max="10"/>
  </cols>
  <sheetData>
    <row r="1" ht="19.8" customHeight="1" s="106">
      <c r="A1" s="1" t="inlineStr">
        <is>
          <t>                             </t>
        </is>
      </c>
    </row>
    <row r="2">
      <c r="A2" s="2" t="n"/>
    </row>
    <row r="3">
      <c r="A3" s="2" t="n"/>
    </row>
    <row r="4" ht="12.75" customHeight="1" s="106">
      <c r="A4" s="2" t="n"/>
    </row>
    <row r="5">
      <c r="A5" s="49" t="inlineStr">
        <is>
          <t>台中市北屯區景南巷1-1號</t>
        </is>
      </c>
      <c r="B5" s="4" t="n"/>
      <c r="C5" s="4" t="n"/>
      <c r="D5" s="4" t="n"/>
      <c r="E5" s="4" t="n"/>
      <c r="F5" s="13" t="n"/>
      <c r="G5" s="13" t="n"/>
      <c r="H5" s="17" t="inlineStr">
        <is>
          <t>TEL：+886-4-2435-0381</t>
        </is>
      </c>
    </row>
    <row r="6">
      <c r="A6" s="50" t="inlineStr">
        <is>
          <t>No. 1-1, Jingnan Ln., Beitun Dist., Taichung City 406, Taiwan (R.O.C.)</t>
        </is>
      </c>
      <c r="B6" s="5" t="n"/>
      <c r="C6" s="5" t="n"/>
      <c r="D6" s="5" t="n"/>
      <c r="E6" s="5" t="n"/>
      <c r="F6" s="14" t="n"/>
      <c r="G6" s="14" t="n"/>
      <c r="H6" s="17" t="inlineStr">
        <is>
          <t>FAX：+886-4-2327-5352</t>
        </is>
      </c>
      <c r="I6" s="5" t="n"/>
      <c r="J6" s="5" t="n"/>
    </row>
    <row r="7" ht="22.2" customHeight="1" s="106">
      <c r="A7" s="84" t="inlineStr">
        <is>
          <t>驗 機 單</t>
        </is>
      </c>
    </row>
    <row r="8" ht="20.4" customHeight="1" s="106">
      <c r="A8" s="3" t="n"/>
    </row>
    <row r="9" ht="18" customHeight="1" s="106" thickBot="1">
      <c r="A9" s="17" t="inlineStr">
        <is>
          <t xml:space="preserve">驗機單號 :   </t>
        </is>
      </c>
      <c r="B9" s="83" t="inlineStr">
        <is>
          <t>J1150505002</t>
        </is>
      </c>
      <c r="C9" s="17" t="n"/>
      <c r="D9" s="17" t="inlineStr">
        <is>
          <t xml:space="preserve">報價日期 :  </t>
        </is>
      </c>
      <c r="E9" s="19" t="n">
        <v>46147</v>
      </c>
      <c r="F9" s="20" t="n"/>
      <c r="G9" s="20" t="inlineStr">
        <is>
          <t xml:space="preserve"> 幣        別  :  </t>
        </is>
      </c>
      <c r="H9" s="17" t="inlineStr">
        <is>
          <t xml:space="preserve">TWD       </t>
        </is>
      </c>
      <c r="I9" s="21" t="n"/>
      <c r="J9" s="17" t="n"/>
    </row>
    <row r="10" ht="18" customHeight="1" s="106" thickTop="1">
      <c r="A10" s="22" t="inlineStr">
        <is>
          <t xml:space="preserve">客戶全名 :   </t>
        </is>
      </c>
      <c r="B10" s="93" t="inlineStr">
        <is>
          <t>普聯國際股份有限公司</t>
        </is>
      </c>
      <c r="C10" s="107" t="n"/>
      <c r="D10" s="107" t="n"/>
      <c r="E10" s="25" t="n"/>
      <c r="F10" s="23" t="n"/>
      <c r="G10" s="23" t="inlineStr">
        <is>
          <t xml:space="preserve"> 有效日期  :  </t>
        </is>
      </c>
      <c r="H10" s="24">
        <f>E9+15</f>
        <v/>
      </c>
      <c r="I10" s="25" t="n"/>
      <c r="J10" s="26" t="n"/>
    </row>
    <row r="11" ht="18" customHeight="1" s="106">
      <c r="A11" s="27" t="inlineStr">
        <is>
          <t xml:space="preserve">電       話  :   </t>
        </is>
      </c>
      <c r="B11" s="55" t="n"/>
      <c r="C11" s="28" t="n"/>
      <c r="D11" s="17" t="n"/>
      <c r="E11" s="17" t="n"/>
      <c r="F11" s="20" t="n"/>
      <c r="G11" s="20" t="inlineStr">
        <is>
          <t xml:space="preserve"> 傳        真  :  </t>
        </is>
      </c>
      <c r="H11" s="92" t="n"/>
      <c r="J11" s="108" t="n"/>
    </row>
    <row r="12" ht="18" customHeight="1" s="106">
      <c r="A12" s="27" t="inlineStr">
        <is>
          <t xml:space="preserve">聯 絡 人   :  </t>
        </is>
      </c>
      <c r="B12" s="64" t="n"/>
      <c r="C12" s="28" t="n"/>
      <c r="D12" s="17" t="n"/>
      <c r="E12" s="17" t="n"/>
      <c r="F12" s="20" t="n"/>
      <c r="G12" s="20" t="inlineStr">
        <is>
          <t xml:space="preserve"> 統一編號  :  </t>
        </is>
      </c>
      <c r="H12" s="83" t="n"/>
      <c r="I12" s="17" t="n"/>
      <c r="J12" s="29" t="n"/>
    </row>
    <row r="13" ht="18" customHeight="1" s="106">
      <c r="A13" s="27" t="inlineStr">
        <is>
          <t xml:space="preserve">聯絡地址 :  </t>
        </is>
      </c>
      <c r="B13" s="90" t="n"/>
      <c r="G13" s="20" t="inlineStr">
        <is>
          <t xml:space="preserve"> E-MAIL     :  </t>
        </is>
      </c>
      <c r="H13" s="65" t="n"/>
      <c r="I13" s="17" t="n"/>
      <c r="J13" s="29" t="n"/>
    </row>
    <row r="14" ht="18" customHeight="1" s="106" thickBot="1">
      <c r="A14" s="27" t="n"/>
      <c r="B14" s="90" t="n"/>
      <c r="C14" s="90" t="n"/>
      <c r="D14" s="90" t="n"/>
      <c r="E14" s="90" t="n"/>
      <c r="F14" s="90" t="n"/>
      <c r="G14" s="20" t="n"/>
      <c r="H14" s="65" t="inlineStr">
        <is>
          <t>pulian@ms22.hinet.net</t>
        </is>
      </c>
      <c r="I14" s="17" t="n"/>
      <c r="J14" s="29" t="n"/>
    </row>
    <row r="15" ht="18" customHeight="1" s="106" thickBot="1">
      <c r="A15" s="46" t="inlineStr">
        <is>
          <t>序</t>
        </is>
      </c>
      <c r="B15" s="48" t="inlineStr">
        <is>
          <t>品號</t>
        </is>
      </c>
      <c r="C15" s="85" t="inlineStr">
        <is>
          <t>品名 / 規格</t>
        </is>
      </c>
      <c r="D15" s="109" t="n"/>
      <c r="E15" s="110" t="n"/>
      <c r="F15" s="104" t="inlineStr">
        <is>
          <t>數量</t>
        </is>
      </c>
      <c r="G15" s="98" t="inlineStr">
        <is>
          <t>單位</t>
        </is>
      </c>
      <c r="H15" s="98" t="inlineStr">
        <is>
          <t>單  價</t>
        </is>
      </c>
      <c r="I15" s="111" t="inlineStr">
        <is>
          <t>小計</t>
        </is>
      </c>
      <c r="J15" s="112" t="n"/>
    </row>
    <row r="16" ht="18" customHeight="1" s="106">
      <c r="A16" s="47" t="n">
        <v>1</v>
      </c>
      <c r="B16" s="44" t="n"/>
      <c r="C16" s="17" t="inlineStr">
        <is>
          <t>BX50WB(機台序號:31150240)維修</t>
        </is>
      </c>
      <c r="D16" s="28" t="n"/>
      <c r="E16" s="43" t="n"/>
      <c r="F16" s="95" t="n">
        <v>1</v>
      </c>
      <c r="G16" s="34" t="inlineStr">
        <is>
          <t>式</t>
        </is>
      </c>
      <c r="H16" s="113" t="n"/>
      <c r="I16" s="114">
        <f>F16*H16</f>
        <v/>
      </c>
      <c r="J16" s="108" t="n"/>
    </row>
    <row r="17" ht="18" customHeight="1" s="106">
      <c r="A17" s="31" t="n"/>
      <c r="B17" s="51" t="n"/>
      <c r="C17" s="17" t="inlineStr">
        <is>
          <t>更換電池2顆以及電路檢修保養</t>
        </is>
      </c>
      <c r="D17" s="28" t="n"/>
      <c r="E17" s="43" t="n"/>
      <c r="F17" s="95" t="n"/>
      <c r="G17" s="34" t="n"/>
      <c r="H17" s="113" t="n"/>
      <c r="I17" s="114" t="n"/>
      <c r="J17" s="108" t="n"/>
    </row>
    <row r="18" ht="18" customHeight="1" s="106">
      <c r="A18" s="31" t="n"/>
      <c r="B18" s="51" t="n"/>
      <c r="C18" s="17" t="inlineStr">
        <is>
          <t>充電機組整修</t>
        </is>
      </c>
      <c r="D18" s="28" t="n"/>
      <c r="E18" s="43" t="n"/>
      <c r="F18" s="95" t="n"/>
      <c r="G18" s="34" t="n"/>
      <c r="H18" s="113" t="n"/>
      <c r="I18" s="115" t="n"/>
      <c r="J18" s="116" t="n"/>
    </row>
    <row r="19" ht="18" customHeight="1" s="106">
      <c r="A19" s="31" t="n"/>
      <c r="B19" s="45" t="n"/>
      <c r="C19" s="39" t="n"/>
      <c r="D19" s="28" t="n"/>
      <c r="E19" s="43" t="n"/>
      <c r="F19" s="95" t="n"/>
      <c r="G19" s="34" t="n"/>
      <c r="H19" s="117" t="n"/>
      <c r="I19" s="114" t="n"/>
      <c r="J19" s="108" t="n"/>
    </row>
    <row r="20" ht="18" customHeight="1" s="106">
      <c r="A20" s="31" t="n"/>
      <c r="B20" s="30" t="n"/>
      <c r="C20" s="39" t="n"/>
      <c r="D20" s="28" t="n"/>
      <c r="E20" s="43" t="n"/>
      <c r="F20" s="95" t="n"/>
      <c r="G20" s="34" t="n"/>
      <c r="H20" s="118" t="n"/>
      <c r="I20" s="114" t="n"/>
      <c r="J20" s="108" t="n"/>
    </row>
    <row r="21" ht="18" customHeight="1" s="106">
      <c r="A21" s="31" t="n"/>
      <c r="B21" s="51" t="n"/>
      <c r="C21" s="67" t="n"/>
      <c r="D21" s="28" t="n"/>
      <c r="E21" s="43" t="n"/>
      <c r="F21" s="95" t="n"/>
      <c r="G21" s="34" t="n"/>
      <c r="H21" s="119" t="n"/>
      <c r="I21" s="120" t="n"/>
      <c r="J21" s="32" t="n"/>
    </row>
    <row r="22" ht="18" customHeight="1" s="106">
      <c r="A22" s="31" t="n"/>
      <c r="B22" s="42" t="n"/>
      <c r="C22" s="66" t="inlineStr">
        <is>
          <t>以上報價含工資及零件費用</t>
        </is>
      </c>
      <c r="D22" s="28" t="n"/>
      <c r="E22" s="43" t="n"/>
      <c r="F22" s="95" t="n"/>
      <c r="G22" s="34" t="n"/>
      <c r="H22" s="119" t="n"/>
      <c r="I22" s="120" t="n"/>
      <c r="J22" s="32" t="n"/>
    </row>
    <row r="23" ht="18" customHeight="1" s="106">
      <c r="A23" s="31" t="n"/>
      <c r="B23" s="30" t="n"/>
      <c r="C23" s="17" t="n"/>
      <c r="D23" s="28" t="n"/>
      <c r="E23" s="43" t="n"/>
      <c r="F23" s="95" t="n"/>
      <c r="G23" s="34" t="n"/>
      <c r="H23" s="119" t="n"/>
      <c r="I23" s="120" t="n"/>
      <c r="J23" s="32" t="n"/>
    </row>
    <row r="24" ht="18" customHeight="1" s="106">
      <c r="A24" s="35" t="n"/>
      <c r="B24" s="34" t="n"/>
      <c r="C24" s="36" t="n"/>
      <c r="D24" s="28" t="n"/>
      <c r="E24" s="37" t="n"/>
      <c r="F24" s="96" t="n"/>
      <c r="G24" s="34" t="n"/>
      <c r="H24" s="121" t="n"/>
      <c r="I24" s="122" t="n"/>
      <c r="J24" s="38" t="n"/>
    </row>
    <row r="25" ht="18" customHeight="1" s="106" thickBot="1">
      <c r="A25" s="40" t="n"/>
      <c r="B25" s="41" t="n"/>
      <c r="C25" s="17" t="n"/>
      <c r="D25" s="39" t="n"/>
      <c r="E25" s="39" t="n"/>
      <c r="F25" s="96" t="n"/>
      <c r="G25" s="105" t="n"/>
      <c r="H25" s="123" t="n"/>
      <c r="I25" s="124" t="n"/>
      <c r="J25" s="125" t="n"/>
    </row>
    <row r="26" ht="18" customHeight="1" s="106" thickBot="1">
      <c r="A26" s="75" t="inlineStr">
        <is>
          <t>營業稅</t>
        </is>
      </c>
      <c r="B26" s="126" t="n"/>
      <c r="C26" s="126" t="n"/>
      <c r="D26" s="126" t="n"/>
      <c r="E26" s="126" t="n"/>
      <c r="F26" s="126" t="n"/>
      <c r="G26" s="127" t="n"/>
      <c r="H26" s="128">
        <f>SUM(I16:J20)*0.05</f>
        <v/>
      </c>
      <c r="I26" s="126" t="n"/>
      <c r="J26" s="127" t="n"/>
    </row>
    <row r="27" ht="18" customHeight="1" s="106" thickBot="1">
      <c r="A27" s="75" t="inlineStr">
        <is>
          <t>應收總金額</t>
        </is>
      </c>
      <c r="B27" s="126" t="n"/>
      <c r="C27" s="126" t="n"/>
      <c r="D27" s="126" t="n"/>
      <c r="E27" s="126" t="n"/>
      <c r="F27" s="126" t="n"/>
      <c r="G27" s="127" t="n"/>
      <c r="H27" s="129">
        <f>SUM(I16:J20)*1.05</f>
        <v/>
      </c>
      <c r="I27" s="126" t="n"/>
      <c r="J27" s="127" t="n"/>
    </row>
    <row r="28" ht="18" customHeight="1" s="106">
      <c r="A28" s="56" t="inlineStr">
        <is>
          <t>備註:</t>
        </is>
      </c>
      <c r="B28" s="17" t="inlineStr">
        <is>
          <t>1.確定訂單內容後請簽章並回傳</t>
        </is>
      </c>
      <c r="C28" s="17" t="n"/>
      <c r="D28" s="17" t="n"/>
      <c r="E28" s="17" t="n"/>
      <c r="F28" s="20" t="n"/>
      <c r="G28" s="20" t="n"/>
      <c r="H28" s="17" t="n"/>
      <c r="I28" s="17" t="n"/>
      <c r="J28" s="29" t="n"/>
    </row>
    <row r="29" ht="18" customHeight="1" s="106">
      <c r="A29" s="27" t="n"/>
      <c r="B29" s="17" t="inlineStr">
        <is>
          <t>2.以上交易價格含營業稅</t>
        </is>
      </c>
      <c r="C29" s="57" t="n"/>
      <c r="D29" s="57" t="n"/>
      <c r="E29" s="57" t="n"/>
      <c r="F29" s="58" t="n"/>
      <c r="G29" s="58" t="n"/>
      <c r="H29" s="20" t="inlineStr">
        <is>
          <t>訂購請簽章回傳</t>
        </is>
      </c>
      <c r="I29" s="17" t="n"/>
      <c r="J29" s="29" t="n"/>
    </row>
    <row r="30" ht="18" customHeight="1" s="106">
      <c r="A30" s="27" t="n"/>
      <c r="B30" s="83" t="inlineStr">
        <is>
          <t>3.付款方式：請先匯款</t>
        </is>
      </c>
      <c r="G30" s="20" t="n"/>
      <c r="H30" s="17" t="n"/>
      <c r="I30" s="17" t="n"/>
      <c r="J30" s="29" t="n"/>
    </row>
    <row r="31" ht="18" customHeight="1" s="106">
      <c r="A31" s="27" t="n"/>
      <c r="B31" s="21" t="inlineStr">
        <is>
          <t>戶        名：</t>
        </is>
      </c>
      <c r="C31" s="17" t="inlineStr">
        <is>
          <t>立善科技有限公司</t>
        </is>
      </c>
      <c r="D31" s="17" t="n"/>
      <c r="E31" s="17" t="n"/>
      <c r="F31" s="17" t="n"/>
      <c r="G31" s="17" t="n"/>
      <c r="H31" s="17" t="n"/>
      <c r="I31" s="17" t="n"/>
      <c r="J31" s="29" t="n"/>
    </row>
    <row r="32" ht="18" customHeight="1" s="106">
      <c r="A32" s="27" t="n"/>
      <c r="B32" s="21" t="inlineStr">
        <is>
          <t>銀        行：</t>
        </is>
      </c>
      <c r="C32" s="17" t="inlineStr">
        <is>
          <t>「華南銀行 台中港路分行」</t>
        </is>
      </c>
      <c r="D32" s="17" t="n"/>
      <c r="E32" s="17" t="n"/>
      <c r="F32" s="17" t="n"/>
      <c r="G32" s="17" t="n"/>
      <c r="H32" s="17" t="n"/>
      <c r="I32" s="17" t="n"/>
      <c r="J32" s="29" t="n"/>
    </row>
    <row r="33" ht="18" customHeight="1" s="106">
      <c r="A33" s="27" t="n"/>
      <c r="B33" s="21" t="inlineStr">
        <is>
          <t>銀行代碼：</t>
        </is>
      </c>
      <c r="C33" s="68" t="inlineStr">
        <is>
          <t>008</t>
        </is>
      </c>
      <c r="D33" s="60" t="n"/>
      <c r="E33" s="17" t="n"/>
      <c r="F33" s="17" t="n"/>
      <c r="G33" s="17" t="n"/>
      <c r="H33" s="130" t="n"/>
      <c r="I33" s="17" t="n"/>
      <c r="J33" s="29" t="n"/>
    </row>
    <row r="34" ht="18" customHeight="1" s="106">
      <c r="A34" s="27" t="n"/>
      <c r="B34" s="59" t="inlineStr">
        <is>
          <t>帳        號：</t>
        </is>
      </c>
      <c r="C34" s="39" t="inlineStr">
        <is>
          <t>424-10-004051-9</t>
        </is>
      </c>
      <c r="D34" s="69" t="n"/>
      <c r="E34" s="69" t="n"/>
      <c r="F34" s="17" t="n"/>
      <c r="G34" s="17" t="n"/>
      <c r="H34" s="17" t="n"/>
      <c r="I34" s="17" t="n"/>
      <c r="J34" s="29" t="n"/>
    </row>
    <row r="35" ht="18" customHeight="1" s="106">
      <c r="A35" s="27" t="n"/>
      <c r="B35" s="21" t="n"/>
      <c r="C35" s="17" t="n"/>
      <c r="D35" s="17" t="n"/>
      <c r="E35" s="17" t="n"/>
      <c r="F35" s="60" t="n"/>
      <c r="G35" s="60" t="n"/>
      <c r="H35" s="60" t="n"/>
      <c r="I35" s="17" t="n"/>
      <c r="J35" s="29" t="n"/>
    </row>
    <row r="36" ht="18" customHeight="1" s="106" thickBot="1">
      <c r="A36" s="73" t="inlineStr">
        <is>
          <t>製表人：黃中宥</t>
        </is>
      </c>
      <c r="B36" s="131" t="n"/>
      <c r="C36" s="61" t="n"/>
      <c r="D36" s="61" t="n"/>
      <c r="E36" s="62" t="n"/>
      <c r="F36" s="62" t="n"/>
      <c r="G36" s="62" t="n"/>
      <c r="H36" s="62" t="n"/>
      <c r="I36" s="61" t="n"/>
      <c r="J36" s="63" t="n"/>
    </row>
    <row r="37" ht="18" customHeight="1" s="106" thickTop="1">
      <c r="A37" s="6" t="n"/>
      <c r="B37" s="9" t="n"/>
      <c r="C37" s="10" t="n"/>
      <c r="D37" s="11" t="n"/>
      <c r="E37" s="11" t="n"/>
      <c r="F37" s="15" t="n"/>
      <c r="G37" s="15" t="n"/>
      <c r="H37" s="11" t="n"/>
      <c r="I37" s="6" t="n"/>
      <c r="J37" s="6" t="n"/>
    </row>
    <row r="38"/>
    <row r="39">
      <c r="B39" s="7" t="n"/>
    </row>
    <row r="40">
      <c r="B40" s="8" t="n"/>
    </row>
    <row r="41"/>
    <row r="42"/>
    <row r="43">
      <c r="C43" s="16" t="n"/>
    </row>
  </sheetData>
  <mergeCells count="16">
    <mergeCell ref="B30:F30"/>
    <mergeCell ref="B10:D10"/>
    <mergeCell ref="I20:J20"/>
    <mergeCell ref="I16:J16"/>
    <mergeCell ref="A27:G27"/>
    <mergeCell ref="I15:J15"/>
    <mergeCell ref="C15:E15"/>
    <mergeCell ref="I19:J19"/>
    <mergeCell ref="H27:J27"/>
    <mergeCell ref="A26:G26"/>
    <mergeCell ref="A36:B36"/>
    <mergeCell ref="A7:J7"/>
    <mergeCell ref="H26:J26"/>
    <mergeCell ref="H11:J11"/>
    <mergeCell ref="B13:F13"/>
    <mergeCell ref="I17:J17"/>
  </mergeCells>
  <hyperlinks>
    <hyperlink xmlns:r="http://schemas.openxmlformats.org/officeDocument/2006/relationships" ref="H13" r:id="rId1"/>
    <hyperlink xmlns:r="http://schemas.openxmlformats.org/officeDocument/2006/relationships" ref="H14" r:id="rId2"/>
  </hyperlinks>
  <printOptions horizontalCentered="1"/>
  <pageMargins left="0.5905511811023623" right="0.6299212598425197" top="0.3543307086614174" bottom="0.3543307086614174" header="0" footer="0"/>
  <pageSetup orientation="portrait" paperSize="9" scale="72" horizontalDpi="1200" verticalDpi="1200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2016-10-26T07:46:52Z</dcterms:created>
  <dcterms:modified xsi:type="dcterms:W3CDTF">2026-05-06T09:15:19Z</dcterms:modified>
  <cp:lastModifiedBy>惠雯 張</cp:lastModifiedBy>
  <cp:lastPrinted>2026-05-05T07:04:33Z</cp:lastPrinted>
</cp:coreProperties>
</file>