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工作表1" sheetId="1" state="visible" r:id="rId1"/>
    <sheet name="工作表2" sheetId="2" state="visible" r:id="rId2"/>
    <sheet name="工作表3" sheetId="3" state="visible" r:id="rId3"/>
  </sheets>
  <definedNames>
    <definedName name="_xlnm.Print_Titles" localSheetId="0">'工作表1'!$1:$12</definedName>
    <definedName name="_xlnm.Print_Area" localSheetId="0">'工作表1'!$A$1:$J$42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#,##0_ "/>
    <numFmt numFmtId="166" formatCode="&quot;NT$&quot;#,##0"/>
  </numFmts>
  <fonts count="2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0"/>
      <sz val="12"/>
      <u val="single"/>
      <scheme val="minor"/>
    </font>
    <font>
      <name val="新細明體"/>
      <charset val="136"/>
      <family val="1"/>
      <b val="1"/>
      <color rgb="FF000000"/>
      <sz val="12"/>
      <scheme val="minor"/>
    </font>
    <font>
      <name val="微軟正黑體"/>
      <charset val="136"/>
      <family val="2"/>
      <color rgb="FF000000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12"/>
      <u val="single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color rgb="FF000000"/>
      <sz val="11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color theme="1"/>
      <sz val="10"/>
    </font>
    <font>
      <name val="微軟正黑體"/>
      <charset val="136"/>
      <family val="2"/>
      <color theme="1"/>
      <sz val="11"/>
    </font>
    <font>
      <name val="微軟正黑體"/>
      <charset val="136"/>
      <family val="2"/>
      <color theme="10"/>
      <sz val="12"/>
      <u val="single"/>
    </font>
    <font>
      <name val="Microsoft JhengHei"/>
      <charset val="136"/>
      <family val="2"/>
      <b val="1"/>
      <color theme="1"/>
      <sz val="12"/>
    </font>
    <font>
      <name val="Microsoft JhengHei"/>
      <charset val="136"/>
      <family val="2"/>
      <color theme="1"/>
      <sz val="12"/>
    </font>
    <font>
      <name val="新細明體"/>
      <charset val="136"/>
      <family val="1"/>
      <b val="1"/>
      <color rgb="FF0070C0"/>
      <sz val="22"/>
      <scheme val="minor"/>
    </font>
    <font/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</fills>
  <borders count="3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theme="1"/>
      </left>
      <right/>
      <top/>
      <bottom/>
      <diagonal/>
    </border>
    <border>
      <left style="thick">
        <color indexed="64"/>
      </left>
      <right/>
      <top style="medium">
        <color rgb="FF000000"/>
      </top>
      <bottom style="medium">
        <color rgb="FF000000"/>
      </bottom>
      <diagonal/>
    </border>
    <border>
      <left style="thick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/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21">
    <xf numFmtId="0" fontId="0" fillId="0" borderId="0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11" applyAlignment="1" pivotButton="0" quotePrefix="0" xfId="0">
      <alignment horizontal="left" vertical="center"/>
    </xf>
    <xf numFmtId="14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14" fontId="5" fillId="0" borderId="3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/>
    </xf>
    <xf numFmtId="0" fontId="5" fillId="0" borderId="5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0" fontId="5" fillId="0" borderId="5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164" fontId="5" fillId="0" borderId="5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13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5" fillId="0" borderId="19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5" fillId="0" borderId="20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vertical="center"/>
    </xf>
    <xf numFmtId="0" fontId="5" fillId="0" borderId="27" applyAlignment="1" pivotButton="0" quotePrefix="0" xfId="0">
      <alignment horizontal="right" vertical="center"/>
    </xf>
    <xf numFmtId="0" fontId="5" fillId="0" borderId="27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vertical="center"/>
    </xf>
    <xf numFmtId="0" fontId="20" fillId="3" borderId="24" applyAlignment="1" pivotButton="0" quotePrefix="0" xfId="0">
      <alignment wrapText="1"/>
    </xf>
    <xf numFmtId="0" fontId="20" fillId="3" borderId="26" applyAlignment="1" pivotButton="0" quotePrefix="0" xfId="0">
      <alignment horizontal="right" wrapText="1"/>
    </xf>
    <xf numFmtId="164" fontId="5" fillId="0" borderId="0" applyAlignment="1" pivotButton="0" quotePrefix="0" xfId="0">
      <alignment vertical="center" wrapText="1"/>
    </xf>
    <xf numFmtId="164" fontId="5" fillId="0" borderId="20" applyAlignment="1" pivotButton="0" quotePrefix="0" xfId="0">
      <alignment vertical="center" wrapText="1"/>
    </xf>
    <xf numFmtId="164" fontId="5" fillId="0" borderId="8" applyAlignment="1" pivotButton="0" quotePrefix="0" xfId="0">
      <alignment vertical="center" wrapText="1"/>
    </xf>
    <xf numFmtId="164" fontId="5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7" fillId="0" borderId="5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20" applyAlignment="1" pivotButton="0" quotePrefix="0" xfId="0">
      <alignment horizontal="left" vertical="top" wrapText="1"/>
    </xf>
    <xf numFmtId="0" fontId="5" fillId="0" borderId="19" applyAlignment="1" pivotButton="0" quotePrefix="0" xfId="0">
      <alignment horizontal="left" vertical="top" wrapText="1"/>
    </xf>
    <xf numFmtId="0" fontId="2" fillId="0" borderId="21" applyAlignment="1" pivotButton="0" quotePrefix="0" xfId="1">
      <alignment horizontal="left" vertical="center" wrapText="1"/>
    </xf>
    <xf numFmtId="0" fontId="18" fillId="0" borderId="21" applyAlignment="1" pivotButton="0" quotePrefix="0" xfId="1">
      <alignment horizontal="left" vertical="center" wrapText="1"/>
    </xf>
    <xf numFmtId="0" fontId="18" fillId="0" borderId="22" applyAlignment="1" pivotButton="0" quotePrefix="0" xfId="1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19" fillId="2" borderId="28" applyAlignment="1" pivotButton="0" quotePrefix="0" xfId="0">
      <alignment wrapText="1"/>
    </xf>
    <xf numFmtId="0" fontId="19" fillId="2" borderId="25" applyAlignment="1" pivotButton="0" quotePrefix="0" xfId="0">
      <alignment wrapText="1"/>
    </xf>
    <xf numFmtId="0" fontId="5" fillId="0" borderId="1" applyAlignment="1" pivotButton="0" quotePrefix="0" xfId="0">
      <alignment horizontal="right" vertical="center"/>
    </xf>
    <xf numFmtId="0" fontId="5" fillId="0" borderId="7" applyAlignment="1" pivotButton="0" quotePrefix="0" xfId="0">
      <alignment horizontal="right" vertical="center"/>
    </xf>
    <xf numFmtId="166" fontId="5" fillId="0" borderId="1" applyAlignment="1" pivotButton="0" quotePrefix="0" xfId="0">
      <alignment horizontal="center" vertical="top" wrapText="1"/>
    </xf>
    <xf numFmtId="166" fontId="11" fillId="0" borderId="7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0" pivotButton="0" quotePrefix="0" xfId="0"/>
    <xf numFmtId="0" fontId="22" fillId="0" borderId="3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2" pivotButton="0" quotePrefix="0" xfId="0"/>
    <xf numFmtId="0" fontId="2" fillId="0" borderId="22" applyAlignment="1" pivotButton="0" quotePrefix="0" xfId="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36" pivotButton="0" quotePrefix="0" xfId="0"/>
    <xf numFmtId="0" fontId="0" fillId="0" borderId="15" pivotButton="0" quotePrefix="0" xfId="0"/>
    <xf numFmtId="165" fontId="7" fillId="0" borderId="5" applyAlignment="1" pivotButton="0" quotePrefix="0" xfId="0">
      <alignment horizontal="center" vertical="center"/>
    </xf>
    <xf numFmtId="164" fontId="5" fillId="0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165" fontId="5" fillId="0" borderId="5" applyAlignment="1" pivotButton="0" quotePrefix="0" xfId="0">
      <alignment horizontal="center" vertical="center"/>
    </xf>
    <xf numFmtId="0" fontId="0" fillId="0" borderId="25" pivotButton="0" quotePrefix="0" xfId="0"/>
    <xf numFmtId="164" fontId="5" fillId="0" borderId="5" applyAlignment="1" pivotButton="0" quotePrefix="0" xfId="0">
      <alignment horizontal="center" vertical="center"/>
    </xf>
    <xf numFmtId="164" fontId="5" fillId="0" borderId="5" applyAlignment="1" pivotButton="0" quotePrefix="0" xfId="0">
      <alignment vertical="center"/>
    </xf>
    <xf numFmtId="164" fontId="5" fillId="0" borderId="8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164" fontId="5" fillId="0" borderId="20" applyAlignment="1" pivotButton="0" quotePrefix="0" xfId="0">
      <alignment vertical="center" wrapText="1"/>
    </xf>
    <xf numFmtId="0" fontId="6" fillId="0" borderId="1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166" fontId="5" fillId="0" borderId="1" applyAlignment="1" pivotButton="0" quotePrefix="0" xfId="0">
      <alignment horizontal="center" vertical="top" wrapText="1"/>
    </xf>
    <xf numFmtId="0" fontId="0" fillId="0" borderId="32" pivotButton="0" quotePrefix="0" xfId="0"/>
    <xf numFmtId="0" fontId="0" fillId="0" borderId="33" pivotButton="0" quotePrefix="0" xfId="0"/>
    <xf numFmtId="166" fontId="11" fillId="0" borderId="7" applyAlignment="1" pivotButton="0" quotePrefix="0" xfId="0">
      <alignment horizontal="center" vertical="top" wrapText="1"/>
    </xf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44824</colOff>
      <row>0</row>
      <rowOff>38660</rowOff>
    </from>
    <to>
      <col>0</col>
      <colOff>480733</colOff>
      <row>2</row>
      <rowOff>560</rowOff>
    </to>
    <pic>
      <nvPicPr>
        <cNvPr id="7" name="圖片 6" descr="mark-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44824" y="38660"/>
          <a:ext cx="435909" cy="410135"/>
        </a:xfrm>
        <a:prstGeom prst="rect">
          <avLst/>
        </a:prstGeom>
        <a:noFill/>
        <a:ln>
          <a:prstDash val="solid"/>
        </a:ln>
      </spPr>
    </pic>
    <clientData/>
  </twoCellAnchor>
  <twoCellAnchor>
    <from>
      <col>0</col>
      <colOff>565338</colOff>
      <row>0</row>
      <rowOff>96370</rowOff>
    </from>
    <to>
      <col>1</col>
      <colOff>1460127</colOff>
      <row>2</row>
      <rowOff>180386</rowOff>
    </to>
    <pic>
      <nvPicPr>
        <cNvPr id="8" name="圖片 7" descr="word mark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65338" y="96370"/>
          <a:ext cx="1712818" cy="532251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zxc152633@gmail.com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tabSelected="1" topLeftCell="A10" zoomScale="160" zoomScaleNormal="160" zoomScaleSheetLayoutView="70" zoomScalePageLayoutView="80" workbookViewId="0">
      <selection activeCell="E21" sqref="E21"/>
    </sheetView>
  </sheetViews>
  <sheetFormatPr baseColWidth="8" defaultRowHeight="15.75"/>
  <cols>
    <col width="10.75" customWidth="1" style="3" min="1" max="1"/>
    <col width="23.125" customWidth="1" style="3" min="2" max="2"/>
    <col width="11.5" customWidth="1" style="3" min="3" max="3"/>
    <col width="10.125" customWidth="1" style="3" min="4" max="4"/>
    <col width="19.125" customWidth="1" style="3" min="5" max="5"/>
    <col width="5.5" customWidth="1" style="3" min="6" max="6"/>
    <col width="12.75" customWidth="1" style="3" min="7" max="7"/>
    <col width="15.125" customWidth="1" style="3" min="8" max="8"/>
    <col width="6.625" customWidth="1" style="3" min="9" max="9"/>
    <col width="10.125" customWidth="1" style="3" min="10" max="10"/>
    <col width="15.375" customWidth="1" style="3" min="11" max="11"/>
    <col width="14.125" customWidth="1" style="3" min="12" max="12"/>
    <col width="12" customWidth="1" style="3" min="13" max="13"/>
    <col width="9" customWidth="1" style="3" min="14" max="20"/>
    <col width="11.375" customWidth="1" style="3" min="21" max="21"/>
    <col width="9" customWidth="1" style="3" min="22" max="16384"/>
  </cols>
  <sheetData>
    <row r="1" ht="18.75" customHeight="1" s="91">
      <c r="A1" s="18" t="inlineStr">
        <is>
          <t>                             </t>
        </is>
      </c>
      <c r="K1" s="92" t="n"/>
      <c r="L1" s="92" t="n"/>
      <c r="M1" s="92" t="n"/>
      <c r="N1" s="92" t="n"/>
      <c r="O1" s="92" t="n"/>
      <c r="P1" s="92" t="n"/>
      <c r="Q1" s="92" t="n"/>
    </row>
    <row r="2">
      <c r="K2" s="92" t="n"/>
      <c r="L2" s="92" t="n"/>
      <c r="M2" s="92" t="n"/>
      <c r="N2" s="92" t="n"/>
      <c r="O2" s="92" t="n"/>
      <c r="P2" s="92" t="n"/>
    </row>
    <row r="3">
      <c r="K3" s="92" t="n"/>
      <c r="L3" s="92" t="n"/>
      <c r="M3" s="92" t="n"/>
      <c r="N3" s="92" t="n"/>
      <c r="O3" s="92" t="n"/>
      <c r="P3" s="92" t="n"/>
    </row>
    <row r="4">
      <c r="A4" s="33" t="inlineStr">
        <is>
          <t>台中市北屯區景南巷1-1號</t>
        </is>
      </c>
      <c r="B4" s="37" t="n"/>
      <c r="C4" s="37" t="n"/>
      <c r="D4" s="37" t="n"/>
      <c r="E4" s="37" t="n"/>
      <c r="F4" s="38" t="n"/>
      <c r="G4" s="38" t="n"/>
      <c r="H4" s="3" t="inlineStr">
        <is>
          <t>TEL：+886-4-2435-0381</t>
        </is>
      </c>
      <c r="I4" s="37" t="n"/>
      <c r="J4" s="37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</row>
    <row r="5">
      <c r="A5" s="34" t="inlineStr">
        <is>
          <t>No. 1-1, Jingnan Ln., Beitun Dist., Taichung City 406, Taiwan (R.O.C.)</t>
        </is>
      </c>
      <c r="B5" s="39" t="n"/>
      <c r="C5" s="39" t="n"/>
      <c r="D5" s="39" t="n"/>
      <c r="E5" s="39" t="n"/>
      <c r="F5" s="40" t="n"/>
      <c r="G5" s="40" t="n"/>
      <c r="H5" s="3" t="inlineStr">
        <is>
          <t>FAX：+886-4-2327-5352</t>
        </is>
      </c>
      <c r="I5" s="39" t="n"/>
      <c r="J5" s="39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</row>
    <row r="6" ht="20.25" customHeight="1" s="91">
      <c r="A6" s="66" t="inlineStr">
        <is>
          <t>驗 機 單</t>
        </is>
      </c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</row>
    <row r="7" ht="18" customHeight="1" s="91" thickBot="1">
      <c r="A7" s="3" t="inlineStr">
        <is>
          <t xml:space="preserve">驗機單號 :   </t>
        </is>
      </c>
      <c r="B7" s="5" t="inlineStr">
        <is>
          <t>CH1150410005</t>
        </is>
      </c>
      <c r="D7" s="3" t="inlineStr">
        <is>
          <t xml:space="preserve">報價日期 :  </t>
        </is>
      </c>
      <c r="E7" s="6" t="n">
        <v>46122</v>
      </c>
      <c r="G7" s="77" t="inlineStr">
        <is>
          <t xml:space="preserve"> 幣        別  :  </t>
        </is>
      </c>
      <c r="H7" s="3" t="inlineStr">
        <is>
          <t xml:space="preserve">TWD       </t>
        </is>
      </c>
      <c r="I7" s="7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</row>
    <row r="8" ht="18" customHeight="1" s="91" thickTop="1">
      <c r="A8" s="19" t="inlineStr">
        <is>
          <t xml:space="preserve">客戶全名 :   </t>
        </is>
      </c>
      <c r="B8" s="73" t="inlineStr">
        <is>
          <t>陸軍步兵一一七旅砲兵營</t>
        </is>
      </c>
      <c r="C8" s="93" t="n"/>
      <c r="D8" s="42" t="n"/>
      <c r="E8" s="42" t="n"/>
      <c r="F8" s="42" t="n"/>
      <c r="G8" s="8" t="inlineStr">
        <is>
          <t xml:space="preserve"> 有效日期  :  </t>
        </is>
      </c>
      <c r="H8" s="12">
        <f>E7+15</f>
        <v/>
      </c>
      <c r="I8" s="8" t="n"/>
      <c r="J8" s="9" t="n"/>
      <c r="K8" s="92" t="n"/>
      <c r="L8" s="92" t="n"/>
      <c r="M8" s="92" t="n"/>
      <c r="N8" s="92" t="n"/>
      <c r="O8" s="92" t="n"/>
      <c r="P8" s="92" t="n"/>
      <c r="Q8" s="92" t="n"/>
      <c r="R8" s="92" t="n"/>
      <c r="S8" s="92" t="n"/>
    </row>
    <row r="9" ht="18" customHeight="1" s="91">
      <c r="A9" s="20" t="inlineStr">
        <is>
          <t xml:space="preserve">電       話  :   </t>
        </is>
      </c>
      <c r="B9" s="3" t="n"/>
      <c r="C9" s="43" t="n"/>
      <c r="G9" s="3" t="inlineStr">
        <is>
          <t xml:space="preserve"> 傳        真  :  </t>
        </is>
      </c>
      <c r="H9" s="72" t="n"/>
      <c r="J9" s="94" t="n"/>
      <c r="K9" s="92" t="n"/>
      <c r="L9" s="92" t="n"/>
      <c r="M9" s="92" t="n"/>
      <c r="N9" s="92" t="n"/>
      <c r="O9" s="92" t="n"/>
      <c r="P9" s="92" t="n"/>
      <c r="Q9" s="92" t="n"/>
      <c r="R9" s="92" t="n"/>
      <c r="S9" s="92" t="n"/>
    </row>
    <row r="10" ht="18" customHeight="1" s="91">
      <c r="A10" s="20" t="inlineStr">
        <is>
          <t xml:space="preserve">聯 絡 人   :  </t>
        </is>
      </c>
      <c r="B10" s="43" t="n"/>
      <c r="G10" s="3" t="inlineStr">
        <is>
          <t xml:space="preserve"> 統一編號  :  </t>
        </is>
      </c>
      <c r="H10" s="77" t="n"/>
      <c r="J10" s="44" t="n"/>
      <c r="K10" s="92" t="n"/>
      <c r="L10" s="92" t="n"/>
      <c r="M10" s="92" t="n"/>
      <c r="N10" s="92" t="n"/>
      <c r="O10" s="92" t="n"/>
      <c r="P10" s="92" t="n"/>
      <c r="Q10" s="92" t="n"/>
      <c r="R10" s="92" t="n"/>
      <c r="S10" s="92" t="n"/>
    </row>
    <row r="11" ht="18" customHeight="1" s="91" thickBot="1">
      <c r="A11" s="21" t="inlineStr">
        <is>
          <t xml:space="preserve">聯絡地址 :  </t>
        </is>
      </c>
      <c r="B11" s="70" t="n"/>
      <c r="C11" s="95" t="n"/>
      <c r="D11" s="95" t="n"/>
      <c r="E11" s="95" t="n"/>
      <c r="F11" s="95" t="n"/>
      <c r="G11" s="11" t="inlineStr">
        <is>
          <t xml:space="preserve"> E-MAIL    :  </t>
        </is>
      </c>
      <c r="H11" s="96" t="n"/>
      <c r="I11" s="97" t="n"/>
      <c r="J11" s="98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</row>
    <row r="12" ht="16.5" customHeight="1" s="91" thickBot="1">
      <c r="A12" s="67" t="inlineStr">
        <is>
          <t>序</t>
        </is>
      </c>
      <c r="B12" s="67" t="inlineStr">
        <is>
          <t>品號</t>
        </is>
      </c>
      <c r="C12" s="67" t="inlineStr">
        <is>
          <t>品名 / 規格</t>
        </is>
      </c>
      <c r="D12" s="99" t="n"/>
      <c r="E12" s="100" t="n"/>
      <c r="F12" s="67" t="inlineStr">
        <is>
          <t>數量</t>
        </is>
      </c>
      <c r="G12" s="69" t="inlineStr">
        <is>
          <t>單位</t>
        </is>
      </c>
      <c r="H12" s="67" t="inlineStr">
        <is>
          <t>單  價</t>
        </is>
      </c>
      <c r="I12" s="67" t="inlineStr">
        <is>
          <t>小計</t>
        </is>
      </c>
      <c r="J12" s="100" t="n"/>
      <c r="K12" s="92" t="n"/>
      <c r="L12" s="92" t="n"/>
      <c r="M12" s="92" t="n"/>
      <c r="N12" s="92" t="n"/>
      <c r="O12" s="92" t="n"/>
      <c r="P12" s="92" t="n"/>
      <c r="Q12" s="92" t="n"/>
      <c r="R12" s="92" t="n"/>
      <c r="S12" s="92" t="n"/>
    </row>
    <row r="13" ht="18" customHeight="1" s="91" thickTop="1">
      <c r="A13" s="4" t="n">
        <v>1</v>
      </c>
      <c r="B13" s="89" t="inlineStr">
        <is>
          <t>中型戰術輪車零件</t>
        </is>
      </c>
      <c r="C13" s="77" t="n"/>
      <c r="D13" s="43" t="inlineStr">
        <is>
          <t>本體</t>
        </is>
      </c>
      <c r="E13" s="45" t="n"/>
      <c r="F13" s="4" t="n">
        <v>1</v>
      </c>
      <c r="G13" s="15" t="inlineStr">
        <is>
          <t>式</t>
        </is>
      </c>
      <c r="H13" s="101" t="n"/>
      <c r="I13" s="102">
        <f>F13*H13</f>
        <v/>
      </c>
      <c r="J13" s="103" t="n"/>
      <c r="K13" s="92" t="n"/>
      <c r="L13" s="92" t="n"/>
      <c r="M13" s="92" t="n"/>
      <c r="N13" s="92" t="n"/>
      <c r="O13" s="92" t="n"/>
      <c r="P13" s="92" t="n"/>
      <c r="Q13" s="92" t="n"/>
      <c r="R13" s="92" t="n"/>
      <c r="S13" s="92" t="n"/>
    </row>
    <row r="14" ht="18" customHeight="1" s="91" thickBot="1">
      <c r="A14" s="4" t="n">
        <v>2</v>
      </c>
      <c r="B14" s="104" t="n"/>
      <c r="C14" s="77" t="n"/>
      <c r="D14" s="3" t="inlineStr">
        <is>
          <t>本體組件</t>
        </is>
      </c>
      <c r="E14" s="45" t="n"/>
      <c r="F14" s="4" t="n">
        <v>1</v>
      </c>
      <c r="G14" s="15" t="inlineStr">
        <is>
          <t>式</t>
        </is>
      </c>
      <c r="H14" s="105" t="n"/>
      <c r="I14" s="102">
        <f>F14*H14</f>
        <v/>
      </c>
      <c r="J14" s="103" t="n"/>
      <c r="K14" s="92" t="n"/>
      <c r="L14" s="92" t="n"/>
      <c r="M14" s="92" t="n"/>
      <c r="N14" s="92" t="n"/>
      <c r="O14" s="92" t="n"/>
      <c r="P14" s="92" t="n"/>
      <c r="Q14" s="92" t="n"/>
      <c r="R14" s="92" t="n"/>
      <c r="S14" s="92" t="n"/>
    </row>
    <row r="15" ht="18" customHeight="1" s="91" thickBot="1">
      <c r="A15" s="4" t="n">
        <v>3</v>
      </c>
      <c r="B15" s="104" t="n"/>
      <c r="C15" s="77" t="n"/>
      <c r="D15" s="3" t="inlineStr">
        <is>
          <t>輪胎</t>
        </is>
      </c>
      <c r="E15" s="45" t="n"/>
      <c r="F15" s="4" t="n">
        <v>1</v>
      </c>
      <c r="G15" s="15" t="inlineStr">
        <is>
          <t>式</t>
        </is>
      </c>
      <c r="H15" s="14" t="n"/>
      <c r="I15" s="102">
        <f>F15*H15</f>
        <v/>
      </c>
      <c r="J15" s="103" t="n"/>
      <c r="K15" s="92" t="n"/>
      <c r="L15" s="106" t="n"/>
      <c r="M15" s="92" t="n"/>
      <c r="N15" s="92" t="n"/>
      <c r="O15" s="92" t="n"/>
      <c r="P15" s="92" t="n"/>
      <c r="Q15" s="92" t="n"/>
      <c r="R15" s="92" t="n"/>
      <c r="S15" s="92" t="n"/>
    </row>
    <row r="16" ht="18" customHeight="1" s="91" thickBot="1">
      <c r="A16" s="4" t="n">
        <v>4</v>
      </c>
      <c r="B16" s="104" t="n"/>
      <c r="C16" s="77" t="n"/>
      <c r="D16" s="3" t="inlineStr">
        <is>
          <t>輪胎組件</t>
        </is>
      </c>
      <c r="E16" s="45" t="n"/>
      <c r="F16" s="4" t="n">
        <v>1</v>
      </c>
      <c r="G16" s="15" t="inlineStr">
        <is>
          <t>式</t>
        </is>
      </c>
      <c r="H16" s="14" t="n"/>
      <c r="I16" s="102">
        <f>F16*H16</f>
        <v/>
      </c>
      <c r="J16" s="103" t="n"/>
      <c r="K16" s="92" t="n"/>
      <c r="L16" s="92" t="n"/>
      <c r="M16" s="92" t="n"/>
      <c r="N16" s="92" t="n"/>
      <c r="O16" s="92" t="n"/>
      <c r="P16" s="92" t="n"/>
      <c r="Q16" s="92" t="n"/>
      <c r="R16" s="92" t="n"/>
      <c r="S16" s="92" t="n"/>
    </row>
    <row r="17" ht="18" customHeight="1" s="91">
      <c r="A17" s="4" t="n">
        <v>5</v>
      </c>
      <c r="B17" s="104" t="n"/>
      <c r="C17" s="77" t="n"/>
      <c r="D17" s="3" t="inlineStr">
        <is>
          <t>零件包</t>
        </is>
      </c>
      <c r="E17" s="45" t="n"/>
      <c r="F17" s="4" t="n">
        <v>1</v>
      </c>
      <c r="G17" s="15" t="inlineStr">
        <is>
          <t>式</t>
        </is>
      </c>
      <c r="H17" s="14" t="n"/>
      <c r="I17" s="102">
        <f>F17*H17</f>
        <v/>
      </c>
      <c r="J17" s="103" t="n"/>
      <c r="K17" s="92" t="n"/>
      <c r="L17" s="92" t="n"/>
      <c r="M17" s="92" t="n"/>
      <c r="N17" s="92" t="n"/>
      <c r="O17" s="92" t="n"/>
      <c r="P17" s="92" t="n"/>
      <c r="Q17" s="92" t="n"/>
      <c r="R17" s="92" t="n"/>
      <c r="S17" s="92" t="n"/>
    </row>
    <row r="18" ht="18" customHeight="1" s="91" thickBot="1">
      <c r="A18" s="4" t="n"/>
      <c r="B18" s="46" t="n"/>
      <c r="C18" s="77" t="n"/>
      <c r="E18" s="45" t="n"/>
      <c r="F18" s="4" t="n"/>
      <c r="G18" s="24" t="n"/>
      <c r="H18" s="14" t="n"/>
      <c r="I18" s="107" t="n"/>
      <c r="J18" s="62" t="n"/>
      <c r="K18" s="92" t="n"/>
      <c r="L18" s="92" t="n"/>
      <c r="M18" s="92" t="n"/>
      <c r="N18" s="92" t="n"/>
      <c r="O18" s="92" t="n"/>
      <c r="P18" s="92" t="n"/>
      <c r="Q18" s="92" t="n"/>
      <c r="R18" s="92" t="n"/>
      <c r="S18" s="92" t="n"/>
    </row>
    <row r="19" ht="18" customHeight="1" s="91" thickTop="1">
      <c r="A19" s="4" t="n">
        <v>6</v>
      </c>
      <c r="B19" s="89" t="inlineStr">
        <is>
          <t>中型戰術輪車零件</t>
        </is>
      </c>
      <c r="C19" s="77" t="n"/>
      <c r="D19" s="43" t="inlineStr">
        <is>
          <t>本體</t>
        </is>
      </c>
      <c r="E19" s="45" t="n"/>
      <c r="F19" s="4" t="n">
        <v>1</v>
      </c>
      <c r="G19" s="15" t="inlineStr">
        <is>
          <t>式</t>
        </is>
      </c>
      <c r="H19" s="14" t="n"/>
      <c r="I19" s="102">
        <f>H19*F19</f>
        <v/>
      </c>
      <c r="J19" s="103" t="n"/>
      <c r="K19" s="92" t="n"/>
      <c r="L19" s="92" t="n"/>
      <c r="O19" s="92" t="n"/>
      <c r="P19" s="92" t="n"/>
      <c r="Q19" s="92" t="n"/>
      <c r="R19" s="92" t="n"/>
      <c r="S19" s="92" t="n"/>
    </row>
    <row r="20" ht="18" customHeight="1" s="91">
      <c r="A20" s="4" t="n">
        <v>7</v>
      </c>
      <c r="B20" s="104" t="n"/>
      <c r="C20" s="77" t="n"/>
      <c r="D20" s="3" t="inlineStr">
        <is>
          <t>本體組件</t>
        </is>
      </c>
      <c r="E20" s="45" t="n"/>
      <c r="F20" s="4" t="n">
        <v>1</v>
      </c>
      <c r="G20" s="15" t="inlineStr">
        <is>
          <t>式</t>
        </is>
      </c>
      <c r="H20" s="14" t="n"/>
      <c r="I20" s="102">
        <f>H20*F20</f>
        <v/>
      </c>
      <c r="J20" s="103" t="n"/>
      <c r="K20" s="92" t="n"/>
      <c r="O20" s="92" t="n"/>
      <c r="P20" s="92" t="n"/>
      <c r="Q20" s="92" t="n"/>
      <c r="R20" s="92" t="n"/>
      <c r="S20" s="92" t="n"/>
    </row>
    <row r="21" ht="18" customHeight="1" s="91" thickBot="1">
      <c r="A21" s="4" t="n">
        <v>8</v>
      </c>
      <c r="B21" s="104" t="n"/>
      <c r="C21" s="77" t="n"/>
      <c r="D21" s="3" t="inlineStr">
        <is>
          <t>輪胎</t>
        </is>
      </c>
      <c r="E21" s="10" t="n"/>
      <c r="F21" s="4" t="n">
        <v>1</v>
      </c>
      <c r="G21" s="15" t="inlineStr">
        <is>
          <t>式</t>
        </is>
      </c>
      <c r="H21" s="14" t="n"/>
      <c r="I21" s="102">
        <f>H21*F21</f>
        <v/>
      </c>
      <c r="J21" s="103" t="n"/>
      <c r="K21" s="92" t="n"/>
      <c r="O21" s="92" t="n"/>
      <c r="P21" s="92" t="n"/>
      <c r="Q21" s="92" t="n"/>
      <c r="R21" s="92" t="n"/>
      <c r="S21" s="92" t="n"/>
    </row>
    <row r="22" ht="18" customHeight="1" s="91" thickBot="1" thickTop="1">
      <c r="A22" s="4" t="n"/>
      <c r="B22" s="59" t="n"/>
      <c r="C22" s="77" t="n"/>
      <c r="E22" s="10" t="n"/>
      <c r="F22" s="4" t="n"/>
      <c r="G22" s="24" t="n"/>
      <c r="H22" s="22" t="n"/>
      <c r="I22" s="108" t="n"/>
      <c r="J22" s="10" t="n"/>
      <c r="K22" s="92" t="n"/>
      <c r="L22" s="106" t="n"/>
      <c r="M22" s="92" t="n"/>
      <c r="N22" s="92" t="n"/>
      <c r="O22" s="92" t="n"/>
      <c r="P22" s="92" t="n"/>
      <c r="Q22" s="92" t="n"/>
      <c r="R22" s="92" t="n"/>
      <c r="S22" s="92" t="n"/>
    </row>
    <row r="23" ht="18" customHeight="1" s="91" thickBot="1">
      <c r="A23" s="4" t="n"/>
      <c r="B23" s="1" t="n"/>
      <c r="C23" s="47" t="n"/>
      <c r="E23" s="10" t="n"/>
      <c r="F23" s="4" t="n"/>
      <c r="G23" s="24" t="n"/>
      <c r="H23" s="22" t="n"/>
      <c r="I23" s="108" t="n"/>
      <c r="J23" s="10" t="n"/>
      <c r="K23" s="92" t="n"/>
      <c r="L23" s="92" t="n"/>
      <c r="M23" s="92" t="n"/>
      <c r="N23" s="92" t="n"/>
      <c r="O23" s="92" t="n"/>
      <c r="P23" s="92" t="n"/>
      <c r="Q23" s="92" t="n"/>
      <c r="R23" s="92" t="n"/>
      <c r="S23" s="92" t="n"/>
    </row>
    <row r="24" ht="18" customHeight="1" s="91">
      <c r="A24" s="4" t="n"/>
      <c r="B24" s="1" t="n"/>
      <c r="C24" s="47" t="n"/>
      <c r="E24" s="10" t="n"/>
      <c r="F24" s="4" t="n"/>
      <c r="G24" s="24" t="n"/>
      <c r="H24" s="22" t="n"/>
      <c r="I24" s="108" t="n"/>
      <c r="J24" s="10" t="n"/>
      <c r="K24" s="92" t="n"/>
      <c r="L24" s="92" t="n"/>
      <c r="M24" s="92" t="n"/>
      <c r="N24" s="92" t="n"/>
      <c r="O24" s="92" t="n"/>
      <c r="P24" s="92" t="n"/>
      <c r="Q24" s="92" t="n"/>
      <c r="R24" s="92" t="n"/>
      <c r="S24" s="92" t="n"/>
    </row>
    <row r="25" ht="18" customHeight="1" s="91">
      <c r="A25" s="4" t="n"/>
      <c r="B25" s="1" t="n"/>
      <c r="C25" s="77" t="n"/>
      <c r="E25" s="10" t="n"/>
      <c r="F25" s="4" t="n"/>
      <c r="G25" s="24" t="n"/>
      <c r="H25" s="22" t="n"/>
      <c r="I25" s="108" t="n"/>
      <c r="J25" s="10" t="n"/>
      <c r="K25" s="92" t="n"/>
      <c r="L25" s="92" t="n"/>
      <c r="M25" s="92" t="n"/>
      <c r="N25" s="92" t="n"/>
      <c r="O25" s="92" t="n"/>
      <c r="P25" s="92" t="n"/>
      <c r="Q25" s="92" t="n"/>
      <c r="R25" s="92" t="n"/>
      <c r="S25" s="92" t="n"/>
    </row>
    <row r="26" ht="18" customHeight="1" s="91">
      <c r="A26" s="4" t="n"/>
      <c r="B26" s="1" t="n"/>
      <c r="C26" s="77" t="n"/>
      <c r="E26" s="10" t="n"/>
      <c r="F26" s="46" t="n"/>
      <c r="G26" s="46" t="n"/>
      <c r="H26" s="109" t="n"/>
      <c r="I26" s="110" t="n"/>
      <c r="J26" s="111" t="n"/>
      <c r="K26" s="92" t="n"/>
      <c r="L26" s="92" t="n"/>
      <c r="M26" s="92" t="n"/>
      <c r="N26" s="92" t="n"/>
      <c r="O26" s="92" t="n"/>
      <c r="P26" s="92" t="n"/>
      <c r="Q26" s="92" t="n"/>
      <c r="R26" s="92" t="n"/>
      <c r="S26" s="92" t="n"/>
    </row>
    <row r="27" ht="18" customHeight="1" s="91">
      <c r="A27" s="4" t="n"/>
      <c r="B27" s="1" t="n"/>
      <c r="C27" s="77" t="n"/>
      <c r="E27" s="10" t="n"/>
      <c r="F27" s="4" t="n"/>
      <c r="G27" s="4" t="n"/>
      <c r="H27" s="41" t="n"/>
      <c r="I27" s="108" t="n"/>
      <c r="J27" s="10" t="n"/>
      <c r="K27" s="92" t="n"/>
      <c r="L27" s="92" t="n"/>
      <c r="M27" s="92" t="n"/>
      <c r="N27" s="92" t="n"/>
      <c r="O27" s="92" t="n"/>
      <c r="P27" s="92" t="n"/>
      <c r="Q27" s="92" t="n"/>
      <c r="R27" s="92" t="n"/>
      <c r="S27" s="92" t="n"/>
    </row>
    <row r="28" ht="18" customHeight="1" s="91">
      <c r="A28" s="4" t="n"/>
      <c r="B28" s="1" t="n"/>
      <c r="C28" s="77" t="n"/>
      <c r="E28" s="10" t="n"/>
      <c r="F28" s="4" t="n"/>
      <c r="G28" s="24" t="n"/>
      <c r="H28" s="22" t="n"/>
      <c r="I28" s="108" t="n"/>
      <c r="J28" s="10" t="n"/>
      <c r="K28" s="92" t="n"/>
      <c r="L28" s="92" t="n"/>
      <c r="M28" s="92" t="n"/>
      <c r="N28" s="92" t="n"/>
      <c r="O28" s="92" t="n"/>
      <c r="P28" s="92" t="n"/>
      <c r="Q28" s="92" t="n"/>
      <c r="R28" s="92" t="n"/>
      <c r="S28" s="92" t="n"/>
    </row>
    <row r="29" ht="18" customHeight="1" s="91">
      <c r="A29" s="4" t="n"/>
      <c r="B29" s="4" t="inlineStr">
        <is>
          <t>N/A</t>
        </is>
      </c>
      <c r="C29" s="13" t="inlineStr">
        <is>
          <t>一次性運費</t>
        </is>
      </c>
      <c r="E29" s="10" t="n"/>
      <c r="F29" s="14" t="n"/>
      <c r="G29" s="4" t="n"/>
      <c r="H29" s="85" t="inlineStr">
        <is>
          <t>(配合我司車趟可享免運優惠)</t>
        </is>
      </c>
      <c r="J29" s="103" t="n"/>
      <c r="K29" s="92" t="n"/>
      <c r="L29" s="92" t="n"/>
      <c r="M29" s="92" t="n"/>
      <c r="N29" s="92" t="n"/>
      <c r="O29" s="92" t="n"/>
      <c r="P29" s="92" t="n"/>
      <c r="Q29" s="92" t="n"/>
      <c r="R29" s="92" t="n"/>
      <c r="S29" s="92" t="n"/>
    </row>
    <row r="30" ht="18" customHeight="1" s="91" thickBot="1">
      <c r="A30" s="4" t="n"/>
      <c r="B30" s="4" t="n"/>
      <c r="C30" s="13" t="n"/>
      <c r="E30" s="10" t="n"/>
      <c r="F30" s="16" t="n"/>
      <c r="G30" s="17" t="n"/>
      <c r="H30" s="112" t="n"/>
      <c r="I30" s="113" t="n"/>
      <c r="J30" s="114" t="n"/>
      <c r="K30" s="92" t="n"/>
      <c r="L30" s="92" t="n"/>
      <c r="M30" s="92" t="n"/>
      <c r="N30" s="92" t="n"/>
      <c r="O30" s="92" t="n"/>
      <c r="P30" s="92" t="n"/>
      <c r="Q30" s="92" t="n"/>
      <c r="R30" s="92" t="n"/>
      <c r="S30" s="92" t="n"/>
    </row>
    <row r="31" ht="18" customHeight="1" s="91" thickBot="1" thickTop="1">
      <c r="A31" s="80" t="inlineStr">
        <is>
          <t>營業稅</t>
        </is>
      </c>
      <c r="B31" s="115" t="n"/>
      <c r="C31" s="115" t="n"/>
      <c r="D31" s="115" t="n"/>
      <c r="E31" s="115" t="n"/>
      <c r="F31" s="115" t="n"/>
      <c r="G31" s="116" t="n"/>
      <c r="H31" s="117">
        <f>SUM(I13:J29)*0.05</f>
        <v/>
      </c>
      <c r="I31" s="115" t="n"/>
      <c r="J31" s="116" t="n"/>
      <c r="K31" s="92" t="n"/>
      <c r="L31" s="92" t="n"/>
      <c r="M31" s="92" t="n"/>
      <c r="N31" s="92" t="n"/>
      <c r="O31" s="92" t="n"/>
      <c r="P31" s="92" t="n"/>
      <c r="Q31" s="92" t="n"/>
      <c r="R31" s="92" t="n"/>
      <c r="S31" s="92" t="n"/>
    </row>
    <row r="32" ht="18" customHeight="1" s="91" thickBot="1" thickTop="1">
      <c r="A32" s="81" t="inlineStr">
        <is>
          <t>應收總金額</t>
        </is>
      </c>
      <c r="B32" s="118" t="n"/>
      <c r="C32" s="118" t="n"/>
      <c r="D32" s="118" t="n"/>
      <c r="E32" s="118" t="n"/>
      <c r="F32" s="118" t="n"/>
      <c r="G32" s="119" t="n"/>
      <c r="H32" s="120">
        <f>SUM(I13:J29)*1.05</f>
        <v/>
      </c>
      <c r="I32" s="118" t="n"/>
      <c r="J32" s="119" t="n"/>
      <c r="K32" s="92" t="n"/>
      <c r="L32" s="92" t="n"/>
      <c r="M32" s="92" t="n"/>
      <c r="N32" s="92" t="n"/>
      <c r="O32" s="92" t="n"/>
      <c r="P32" s="92" t="n"/>
      <c r="Q32" s="92" t="n"/>
      <c r="R32" s="92" t="n"/>
      <c r="S32" s="92" t="n"/>
    </row>
    <row r="33" ht="18" customHeight="1" s="91" thickTop="1">
      <c r="A33" s="49" t="inlineStr">
        <is>
          <t>備註:</t>
        </is>
      </c>
      <c r="B33" s="3" t="inlineStr">
        <is>
          <t>1.以上皆免費保固一年(非人為損壞及耗材)</t>
        </is>
      </c>
      <c r="F33" s="24" t="n"/>
      <c r="G33" s="8" t="n"/>
      <c r="H33" s="8" t="n"/>
      <c r="I33" s="8" t="n"/>
      <c r="J33" s="9" t="n"/>
      <c r="K33" s="92" t="n"/>
      <c r="L33" s="92" t="n"/>
      <c r="M33" s="92" t="n"/>
      <c r="N33" s="92" t="n"/>
      <c r="O33" s="92" t="n"/>
      <c r="P33" s="92" t="n"/>
      <c r="Q33" s="92" t="n"/>
      <c r="R33" s="92" t="n"/>
      <c r="S33" s="92" t="n"/>
    </row>
    <row r="34" ht="18" customHeight="1" s="91">
      <c r="A34" s="49" t="n"/>
      <c r="B34" s="3" t="inlineStr">
        <is>
          <t>2.確定訂單內容後請簽章並回傳</t>
        </is>
      </c>
      <c r="F34" s="24" t="n"/>
      <c r="H34" s="24" t="inlineStr">
        <is>
          <t>訂購請簽章回傳</t>
        </is>
      </c>
      <c r="J34" s="10" t="n"/>
      <c r="K34" s="92" t="n"/>
      <c r="L34" s="92" t="n"/>
      <c r="M34" s="92" t="n"/>
      <c r="N34" s="92" t="n"/>
      <c r="O34" s="92" t="n"/>
      <c r="P34" s="92" t="n"/>
      <c r="Q34" s="92" t="n"/>
      <c r="R34" s="92" t="n"/>
      <c r="S34" s="92" t="n"/>
    </row>
    <row r="35" ht="18" customHeight="1" s="91">
      <c r="A35" s="50" t="n"/>
      <c r="B35" s="3" t="inlineStr">
        <is>
          <t>3.以上交易價格含營業稅</t>
        </is>
      </c>
      <c r="C35" s="25" t="n"/>
      <c r="D35" s="25" t="n"/>
      <c r="E35" s="25" t="n"/>
      <c r="F35" s="51" t="n"/>
      <c r="G35" s="25" t="n"/>
      <c r="H35" t="inlineStr">
        <is>
          <t>＿＿＿＿＿＿＿＿＿＿＿＿</t>
        </is>
      </c>
      <c r="J35" s="10" t="n"/>
      <c r="K35" s="92" t="n"/>
      <c r="L35" s="92" t="n"/>
      <c r="M35" s="92" t="n"/>
      <c r="N35" s="92" t="n"/>
      <c r="O35" s="92" t="n"/>
      <c r="P35" s="92" t="n"/>
      <c r="Q35" s="92" t="n"/>
      <c r="R35" s="92" t="n"/>
      <c r="S35" s="92" t="n"/>
    </row>
    <row r="36" ht="18" customHeight="1" s="91">
      <c r="A36" s="50" t="n"/>
      <c r="B36" s="77" t="inlineStr">
        <is>
          <t>4.付款方式：請先匯款至</t>
        </is>
      </c>
      <c r="J36" s="10" t="n"/>
      <c r="K36" s="92" t="n"/>
      <c r="L36" s="92" t="n"/>
      <c r="M36" s="92" t="n"/>
      <c r="N36" s="92" t="n"/>
      <c r="O36" s="92" t="n"/>
      <c r="P36" s="92" t="n"/>
      <c r="Q36" s="92" t="n"/>
      <c r="R36" s="92" t="n"/>
      <c r="S36" s="92" t="n"/>
    </row>
    <row r="37" ht="18" customHeight="1" s="91">
      <c r="A37" s="50" t="n"/>
      <c r="B37" s="7" t="inlineStr">
        <is>
          <t>戶名：</t>
        </is>
      </c>
      <c r="C37" s="3" t="inlineStr">
        <is>
          <t>立善科技有限公司</t>
        </is>
      </c>
      <c r="J37" s="10" t="n"/>
      <c r="K37" s="92" t="n"/>
      <c r="L37" s="92" t="n"/>
      <c r="M37" s="92" t="n"/>
      <c r="N37" s="92" t="n"/>
      <c r="O37" s="92" t="n"/>
      <c r="P37" s="92" t="n"/>
      <c r="Q37" s="92" t="n"/>
      <c r="R37" s="92" t="n"/>
      <c r="S37" s="92" t="n"/>
    </row>
    <row r="38" ht="18" customHeight="1" s="91">
      <c r="A38" s="50" t="n"/>
      <c r="B38" s="7" t="inlineStr">
        <is>
          <t>銀行：</t>
        </is>
      </c>
      <c r="C38" s="3" t="inlineStr">
        <is>
          <t>「華南銀行 台中港路分行」</t>
        </is>
      </c>
      <c r="J38" s="10" t="n"/>
      <c r="K38" s="92" t="n"/>
      <c r="L38" s="92" t="n"/>
      <c r="M38" s="92" t="n"/>
      <c r="N38" s="92" t="n"/>
      <c r="O38" s="92" t="n"/>
      <c r="P38" s="92" t="n"/>
      <c r="Q38" s="92" t="n"/>
      <c r="R38" s="92" t="n"/>
      <c r="S38" s="92" t="n"/>
    </row>
    <row r="39" ht="18" customHeight="1" s="91">
      <c r="A39" s="50" t="n"/>
      <c r="B39" s="7" t="inlineStr">
        <is>
          <t>代碼：</t>
        </is>
      </c>
      <c r="C39" s="52" t="inlineStr">
        <is>
          <t>008</t>
        </is>
      </c>
      <c r="D39" s="28" t="n"/>
      <c r="J39" s="10" t="n"/>
      <c r="K39" s="92" t="n"/>
      <c r="L39" s="92" t="n"/>
      <c r="M39" s="92" t="n"/>
      <c r="N39" s="92" t="n"/>
      <c r="O39" s="92" t="n"/>
      <c r="P39" s="92" t="n"/>
      <c r="Q39" s="92" t="n"/>
      <c r="R39" s="92" t="n"/>
      <c r="S39" s="92" t="n"/>
    </row>
    <row r="40" ht="18" customHeight="1" s="91">
      <c r="A40" s="50" t="n"/>
      <c r="B40" s="7" t="inlineStr">
        <is>
          <t>帳號：</t>
        </is>
      </c>
      <c r="C40" s="27" t="inlineStr">
        <is>
          <t>424-10-004051-9</t>
        </is>
      </c>
      <c r="D40" s="28" t="n"/>
      <c r="J40" s="10" t="n"/>
      <c r="K40" s="92" t="n"/>
      <c r="L40" s="92" t="n"/>
      <c r="M40" s="92" t="n"/>
      <c r="N40" s="92" t="n"/>
      <c r="O40" s="92" t="n"/>
      <c r="P40" s="92" t="n"/>
      <c r="Q40" s="92" t="n"/>
      <c r="R40" s="92" t="n"/>
      <c r="S40" s="92" t="n"/>
    </row>
    <row r="41" ht="18" customHeight="1" s="91">
      <c r="A41" s="20" t="n"/>
      <c r="B41" s="26" t="n"/>
      <c r="C41" s="27" t="n"/>
      <c r="D41" s="28" t="n"/>
      <c r="J41" s="10" t="n"/>
      <c r="K41" s="92" t="n"/>
      <c r="L41" s="92" t="n"/>
      <c r="M41" s="92" t="n"/>
      <c r="N41" s="92" t="n"/>
      <c r="O41" s="92" t="n"/>
      <c r="P41" s="92" t="n"/>
      <c r="Q41" s="92" t="n"/>
      <c r="R41" s="92" t="n"/>
      <c r="S41" s="92" t="n"/>
    </row>
    <row r="42" ht="18" customHeight="1" s="91" thickBot="1">
      <c r="A42" s="29" t="inlineStr">
        <is>
          <t>製表人：黃中宥</t>
        </is>
      </c>
      <c r="B42" s="30" t="n"/>
      <c r="C42" s="30" t="n"/>
      <c r="D42" s="30" t="n"/>
      <c r="E42" s="31" t="n"/>
      <c r="F42" s="31" t="n"/>
      <c r="G42" s="31" t="n"/>
      <c r="H42" s="31" t="n"/>
      <c r="I42" s="30" t="n"/>
      <c r="J42" s="32" t="n"/>
      <c r="K42" s="92" t="n"/>
      <c r="L42" s="92" t="n"/>
      <c r="M42" s="92" t="n"/>
      <c r="N42" s="92" t="n"/>
      <c r="O42" s="92" t="n"/>
      <c r="P42" s="92" t="n"/>
      <c r="Q42" s="92" t="n"/>
      <c r="R42" s="92" t="n"/>
      <c r="S42" s="92" t="n"/>
    </row>
    <row r="43" ht="18" customHeight="1" s="91" thickTop="1">
      <c r="B43" s="26" t="n"/>
      <c r="C43" s="27" t="n"/>
      <c r="D43" s="28" t="n"/>
      <c r="E43" s="28" t="n"/>
      <c r="F43" s="28" t="n"/>
      <c r="G43" s="28" t="n"/>
      <c r="H43" s="28" t="n"/>
      <c r="K43" s="92" t="n"/>
      <c r="L43" s="92" t="n"/>
      <c r="M43" s="92" t="n"/>
      <c r="N43" s="92" t="n"/>
      <c r="O43" s="92" t="n"/>
      <c r="P43" s="92" t="n"/>
      <c r="Q43" s="92" t="n"/>
      <c r="R43" s="92" t="n"/>
      <c r="S43" s="92" t="n"/>
    </row>
    <row r="44" ht="18" customHeight="1" s="91">
      <c r="K44" s="92" t="n"/>
      <c r="L44" s="92" t="n"/>
      <c r="M44" s="92" t="n"/>
      <c r="N44" s="92" t="n"/>
      <c r="O44" s="92" t="n"/>
      <c r="P44" s="92" t="n"/>
      <c r="Q44" s="92" t="n"/>
      <c r="R44" s="92" t="n"/>
      <c r="S44" s="92" t="n"/>
    </row>
    <row r="45" ht="18" customHeight="1" s="91">
      <c r="B45" s="41" t="n"/>
      <c r="K45" s="92" t="n"/>
      <c r="L45" s="92" t="n"/>
      <c r="M45" s="92" t="n"/>
      <c r="N45" s="92" t="n"/>
      <c r="O45" s="92" t="n"/>
      <c r="P45" s="92" t="n"/>
      <c r="Q45" s="92" t="n"/>
      <c r="R45" s="92" t="n"/>
      <c r="S45" s="92" t="n"/>
    </row>
    <row r="46" ht="18" customHeight="1" s="91">
      <c r="B46" s="41" t="n"/>
      <c r="K46" s="92" t="n"/>
      <c r="L46" s="92" t="n"/>
      <c r="M46" s="92" t="n"/>
      <c r="N46" s="92" t="n"/>
      <c r="O46" s="92" t="n"/>
      <c r="P46" s="92" t="n"/>
      <c r="Q46" s="92" t="n"/>
      <c r="R46" s="92" t="n"/>
      <c r="S46" s="92" t="n"/>
    </row>
    <row r="47" ht="18" customHeight="1" s="91"/>
    <row r="48" ht="18" customHeight="1" s="91"/>
    <row r="49" ht="18" customHeight="1" s="91"/>
    <row r="50" ht="18" customHeight="1" s="91"/>
    <row r="51" ht="18" customHeight="1" s="91"/>
    <row r="52" ht="18" customHeight="1" s="91"/>
  </sheetData>
  <mergeCells count="28">
    <mergeCell ref="A32:G32"/>
    <mergeCell ref="L19:N21"/>
    <mergeCell ref="I15:J15"/>
    <mergeCell ref="Q1:S3"/>
    <mergeCell ref="K15:L15"/>
    <mergeCell ref="H11:J11"/>
    <mergeCell ref="C12:E12"/>
    <mergeCell ref="H32:J32"/>
    <mergeCell ref="I16:J16"/>
    <mergeCell ref="A31:G31"/>
    <mergeCell ref="B11:F11"/>
    <mergeCell ref="K22:L22"/>
    <mergeCell ref="B8:C8"/>
    <mergeCell ref="I21:J21"/>
    <mergeCell ref="I12:J12"/>
    <mergeCell ref="A6:J6"/>
    <mergeCell ref="H30:J30"/>
    <mergeCell ref="I14:J14"/>
    <mergeCell ref="I17:J17"/>
    <mergeCell ref="H29:J29"/>
    <mergeCell ref="I20:J20"/>
    <mergeCell ref="I19:J19"/>
    <mergeCell ref="H31:J31"/>
    <mergeCell ref="B13:B17"/>
    <mergeCell ref="H9:J9"/>
    <mergeCell ref="B36:F36"/>
    <mergeCell ref="B19:B21"/>
    <mergeCell ref="I13:J13"/>
  </mergeCells>
  <hyperlinks>
    <hyperlink xmlns:r="http://schemas.openxmlformats.org/officeDocument/2006/relationships" ref="H11" r:id="rId1"/>
  </hyperlinks>
  <printOptions horizontalCentered="1"/>
  <pageMargins left="0.3149606299212598" right="0.3149606299212598" top="0.3543307086614174" bottom="0.3543307086614174" header="0" footer="0"/>
  <pageSetup orientation="portrait" paperSize="9" scale="65" horizontalDpi="1200" verticalDpi="120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2016-10-26T07:46:52Z</dcterms:created>
  <dcterms:modified xsi:type="dcterms:W3CDTF">2026-05-07T05:16:07Z</dcterms:modified>
  <cp:lastModifiedBy>us</cp:lastModifiedBy>
  <cp:lastPrinted>2026-04-10T06:16:03Z</cp:lastPrinted>
</cp:coreProperties>
</file>